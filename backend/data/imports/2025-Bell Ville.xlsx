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Mi unidad\SILICIO\02-Obras\42-Municipalidad de Bell Ville\2025\02-Adjudicadas\03-Casa de la Cultura - 2da Vuelta\09-Gastos\"/>
    </mc:Choice>
  </mc:AlternateContent>
  <xr:revisionPtr revIDLastSave="0" documentId="13_ncr:1_{EBC20ADC-959B-4654-A88D-4AABC425F5C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BASE" sheetId="2" r:id="rId1"/>
    <sheet name="PLOMERIA" sheetId="5" r:id="rId2"/>
    <sheet name="ACOPIO" sheetId="1" r:id="rId3"/>
    <sheet name="MADERA" sheetId="4" r:id="rId4"/>
    <sheet name="CELULOS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6" l="1"/>
  <c r="R48" i="6"/>
  <c r="S48" i="6" s="1"/>
  <c r="Q48" i="6"/>
  <c r="O48" i="6"/>
  <c r="M48" i="6"/>
  <c r="K48" i="6"/>
  <c r="R47" i="6"/>
  <c r="S47" i="6" s="1"/>
  <c r="Q47" i="6"/>
  <c r="O47" i="6"/>
  <c r="M47" i="6"/>
  <c r="K47" i="6"/>
  <c r="I47" i="6"/>
  <c r="G47" i="6"/>
  <c r="E47" i="6"/>
  <c r="S46" i="6"/>
  <c r="R46" i="6"/>
  <c r="Q46" i="6"/>
  <c r="O46" i="6"/>
  <c r="M46" i="6"/>
  <c r="K46" i="6"/>
  <c r="I46" i="6"/>
  <c r="G46" i="6"/>
  <c r="E46" i="6"/>
  <c r="R45" i="6"/>
  <c r="S45" i="6" s="1"/>
  <c r="Q45" i="6"/>
  <c r="O45" i="6"/>
  <c r="M45" i="6"/>
  <c r="K45" i="6"/>
  <c r="I45" i="6"/>
  <c r="G45" i="6"/>
  <c r="E45" i="6"/>
  <c r="R44" i="6"/>
  <c r="S44" i="6" s="1"/>
  <c r="Q44" i="6"/>
  <c r="O44" i="6"/>
  <c r="M44" i="6"/>
  <c r="K44" i="6"/>
  <c r="I44" i="6"/>
  <c r="G44" i="6"/>
  <c r="E44" i="6"/>
  <c r="R43" i="6"/>
  <c r="S43" i="6" s="1"/>
  <c r="Q43" i="6"/>
  <c r="O43" i="6"/>
  <c r="M43" i="6"/>
  <c r="K43" i="6"/>
  <c r="I43" i="6"/>
  <c r="G43" i="6"/>
  <c r="E43" i="6"/>
  <c r="S42" i="6"/>
  <c r="R42" i="6"/>
  <c r="Q42" i="6"/>
  <c r="O42" i="6"/>
  <c r="M42" i="6"/>
  <c r="K42" i="6"/>
  <c r="I42" i="6"/>
  <c r="G42" i="6"/>
  <c r="E42" i="6"/>
  <c r="R41" i="6"/>
  <c r="S41" i="6" s="1"/>
  <c r="Q41" i="6"/>
  <c r="O41" i="6"/>
  <c r="M41" i="6"/>
  <c r="K41" i="6"/>
  <c r="I41" i="6"/>
  <c r="G41" i="6"/>
  <c r="E41" i="6"/>
  <c r="R40" i="6"/>
  <c r="S40" i="6" s="1"/>
  <c r="Q40" i="6"/>
  <c r="O40" i="6"/>
  <c r="M40" i="6"/>
  <c r="K40" i="6"/>
  <c r="I40" i="6"/>
  <c r="G40" i="6"/>
  <c r="E40" i="6"/>
  <c r="R39" i="6"/>
  <c r="S39" i="6" s="1"/>
  <c r="Q39" i="6"/>
  <c r="O39" i="6"/>
  <c r="M39" i="6"/>
  <c r="K39" i="6"/>
  <c r="I39" i="6"/>
  <c r="G39" i="6"/>
  <c r="E39" i="6"/>
  <c r="S38" i="6"/>
  <c r="R38" i="6"/>
  <c r="Q38" i="6"/>
  <c r="O38" i="6"/>
  <c r="M38" i="6"/>
  <c r="K38" i="6"/>
  <c r="I38" i="6"/>
  <c r="G38" i="6"/>
  <c r="E38" i="6"/>
  <c r="R37" i="6"/>
  <c r="S37" i="6" s="1"/>
  <c r="Q37" i="6"/>
  <c r="O37" i="6"/>
  <c r="M37" i="6"/>
  <c r="K37" i="6"/>
  <c r="I37" i="6"/>
  <c r="G37" i="6"/>
  <c r="E37" i="6"/>
  <c r="R36" i="6"/>
  <c r="S36" i="6" s="1"/>
  <c r="Q36" i="6"/>
  <c r="O36" i="6"/>
  <c r="M36" i="6"/>
  <c r="K36" i="6"/>
  <c r="I36" i="6"/>
  <c r="G36" i="6"/>
  <c r="E36" i="6"/>
  <c r="R35" i="6"/>
  <c r="S35" i="6" s="1"/>
  <c r="Q35" i="6"/>
  <c r="O35" i="6"/>
  <c r="M35" i="6"/>
  <c r="K35" i="6"/>
  <c r="I35" i="6"/>
  <c r="G35" i="6"/>
  <c r="E35" i="6"/>
  <c r="S34" i="6"/>
  <c r="R34" i="6"/>
  <c r="Q34" i="6"/>
  <c r="O34" i="6"/>
  <c r="M34" i="6"/>
  <c r="K34" i="6"/>
  <c r="I34" i="6"/>
  <c r="G34" i="6"/>
  <c r="E34" i="6"/>
  <c r="R33" i="6"/>
  <c r="S33" i="6" s="1"/>
  <c r="Q33" i="6"/>
  <c r="O33" i="6"/>
  <c r="M33" i="6"/>
  <c r="K33" i="6"/>
  <c r="I33" i="6"/>
  <c r="G33" i="6"/>
  <c r="E33" i="6"/>
  <c r="R32" i="6"/>
  <c r="S32" i="6" s="1"/>
  <c r="Q32" i="6"/>
  <c r="O32" i="6"/>
  <c r="M32" i="6"/>
  <c r="K32" i="6"/>
  <c r="I32" i="6"/>
  <c r="G32" i="6"/>
  <c r="E32" i="6"/>
  <c r="R31" i="6"/>
  <c r="S31" i="6" s="1"/>
  <c r="Q31" i="6"/>
  <c r="O31" i="6"/>
  <c r="M31" i="6"/>
  <c r="K31" i="6"/>
  <c r="I31" i="6"/>
  <c r="G31" i="6"/>
  <c r="E31" i="6"/>
  <c r="S30" i="6"/>
  <c r="R30" i="6"/>
  <c r="Q30" i="6"/>
  <c r="O30" i="6"/>
  <c r="M30" i="6"/>
  <c r="I30" i="6"/>
  <c r="G30" i="6"/>
  <c r="E30" i="6"/>
  <c r="S29" i="6"/>
  <c r="R29" i="6"/>
  <c r="Q29" i="6"/>
  <c r="O29" i="6"/>
  <c r="M29" i="6"/>
  <c r="K29" i="6"/>
  <c r="I29" i="6"/>
  <c r="G29" i="6"/>
  <c r="E29" i="6"/>
  <c r="R28" i="6"/>
  <c r="S28" i="6" s="1"/>
  <c r="Q28" i="6"/>
  <c r="O28" i="6"/>
  <c r="M28" i="6"/>
  <c r="K28" i="6"/>
  <c r="I28" i="6"/>
  <c r="G28" i="6"/>
  <c r="E28" i="6"/>
  <c r="R27" i="6"/>
  <c r="S27" i="6" s="1"/>
  <c r="Q27" i="6"/>
  <c r="O27" i="6"/>
  <c r="M27" i="6"/>
  <c r="K27" i="6"/>
  <c r="I27" i="6"/>
  <c r="G27" i="6"/>
  <c r="E27" i="6"/>
  <c r="R26" i="6"/>
  <c r="S26" i="6" s="1"/>
  <c r="Q26" i="6"/>
  <c r="O26" i="6"/>
  <c r="M26" i="6"/>
  <c r="K26" i="6"/>
  <c r="I26" i="6"/>
  <c r="G26" i="6"/>
  <c r="E26" i="6"/>
  <c r="S25" i="6"/>
  <c r="R25" i="6"/>
  <c r="Q25" i="6"/>
  <c r="O25" i="6"/>
  <c r="M25" i="6"/>
  <c r="K25" i="6"/>
  <c r="I25" i="6"/>
  <c r="G25" i="6"/>
  <c r="E25" i="6"/>
  <c r="R24" i="6"/>
  <c r="S24" i="6" s="1"/>
  <c r="Q24" i="6"/>
  <c r="O24" i="6"/>
  <c r="M24" i="6"/>
  <c r="K24" i="6"/>
  <c r="I24" i="6"/>
  <c r="G24" i="6"/>
  <c r="E24" i="6"/>
  <c r="R23" i="6"/>
  <c r="S23" i="6" s="1"/>
  <c r="Q23" i="6"/>
  <c r="O23" i="6"/>
  <c r="M23" i="6"/>
  <c r="K23" i="6"/>
  <c r="I23" i="6"/>
  <c r="G23" i="6"/>
  <c r="E23" i="6"/>
  <c r="R22" i="6"/>
  <c r="S22" i="6" s="1"/>
  <c r="Q22" i="6"/>
  <c r="O22" i="6"/>
  <c r="M22" i="6"/>
  <c r="K22" i="6"/>
  <c r="I22" i="6"/>
  <c r="G22" i="6"/>
  <c r="E22" i="6"/>
  <c r="S21" i="6"/>
  <c r="R21" i="6"/>
  <c r="Q21" i="6"/>
  <c r="O21" i="6"/>
  <c r="M21" i="6"/>
  <c r="K21" i="6"/>
  <c r="I21" i="6"/>
  <c r="G21" i="6"/>
  <c r="E21" i="6"/>
  <c r="R20" i="6"/>
  <c r="S20" i="6" s="1"/>
  <c r="Q20" i="6"/>
  <c r="O20" i="6"/>
  <c r="M20" i="6"/>
  <c r="K20" i="6"/>
  <c r="I20" i="6"/>
  <c r="G20" i="6"/>
  <c r="E20" i="6"/>
  <c r="R19" i="6"/>
  <c r="S19" i="6" s="1"/>
  <c r="Q19" i="6"/>
  <c r="O19" i="6"/>
  <c r="M19" i="6"/>
  <c r="K19" i="6"/>
  <c r="I19" i="6"/>
  <c r="G19" i="6"/>
  <c r="E19" i="6"/>
  <c r="R18" i="6"/>
  <c r="S18" i="6" s="1"/>
  <c r="Q18" i="6"/>
  <c r="O18" i="6"/>
  <c r="M18" i="6"/>
  <c r="K18" i="6"/>
  <c r="I18" i="6"/>
  <c r="G18" i="6"/>
  <c r="E18" i="6"/>
  <c r="S17" i="6"/>
  <c r="R17" i="6"/>
  <c r="Q17" i="6"/>
  <c r="O17" i="6"/>
  <c r="M17" i="6"/>
  <c r="K17" i="6"/>
  <c r="I17" i="6"/>
  <c r="G17" i="6"/>
  <c r="E17" i="6"/>
  <c r="R16" i="6"/>
  <c r="S16" i="6" s="1"/>
  <c r="Q16" i="6"/>
  <c r="O16" i="6"/>
  <c r="M16" i="6"/>
  <c r="K16" i="6"/>
  <c r="I16" i="6"/>
  <c r="G16" i="6"/>
  <c r="E16" i="6"/>
  <c r="R15" i="6"/>
  <c r="S15" i="6" s="1"/>
  <c r="Q15" i="6"/>
  <c r="O15" i="6"/>
  <c r="M15" i="6"/>
  <c r="K15" i="6"/>
  <c r="I15" i="6"/>
  <c r="G15" i="6"/>
  <c r="E15" i="6"/>
  <c r="R14" i="6"/>
  <c r="S14" i="6" s="1"/>
  <c r="Q14" i="6"/>
  <c r="O14" i="6"/>
  <c r="M14" i="6"/>
  <c r="K14" i="6"/>
  <c r="I14" i="6"/>
  <c r="G14" i="6"/>
  <c r="E14" i="6"/>
  <c r="S13" i="6"/>
  <c r="R13" i="6"/>
  <c r="Q13" i="6"/>
  <c r="O13" i="6"/>
  <c r="M13" i="6"/>
  <c r="K13" i="6"/>
  <c r="I13" i="6"/>
  <c r="G13" i="6"/>
  <c r="E13" i="6"/>
  <c r="Q12" i="6"/>
  <c r="Q50" i="6" s="1"/>
  <c r="O12" i="6"/>
  <c r="O50" i="6" s="1"/>
  <c r="M12" i="6"/>
  <c r="K12" i="6"/>
  <c r="K50" i="6" s="1"/>
  <c r="R12" i="6"/>
  <c r="S12" i="6" s="1"/>
  <c r="G12" i="6"/>
  <c r="E12" i="6"/>
  <c r="H12" i="2"/>
  <c r="I37" i="5"/>
  <c r="I38" i="5"/>
  <c r="K31" i="5"/>
  <c r="I30" i="5"/>
  <c r="K23" i="5"/>
  <c r="K15" i="5"/>
  <c r="K16" i="5"/>
  <c r="K17" i="5"/>
  <c r="R19" i="5"/>
  <c r="S19" i="5" s="1"/>
  <c r="R20" i="5"/>
  <c r="S20" i="5" s="1"/>
  <c r="K21" i="5"/>
  <c r="R26" i="5"/>
  <c r="S26" i="5" s="1"/>
  <c r="R27" i="5"/>
  <c r="S27" i="5" s="1"/>
  <c r="K28" i="5"/>
  <c r="R29" i="5"/>
  <c r="S29" i="5" s="1"/>
  <c r="K32" i="5"/>
  <c r="K35" i="5"/>
  <c r="R13" i="5"/>
  <c r="S13" i="5" s="1"/>
  <c r="K29" i="5"/>
  <c r="R42" i="5"/>
  <c r="S42" i="5" s="1"/>
  <c r="Q42" i="5"/>
  <c r="O42" i="5"/>
  <c r="M42" i="5"/>
  <c r="K42" i="5"/>
  <c r="R41" i="5"/>
  <c r="S41" i="5" s="1"/>
  <c r="Q41" i="5"/>
  <c r="O41" i="5"/>
  <c r="M41" i="5"/>
  <c r="K41" i="5"/>
  <c r="I41" i="5"/>
  <c r="G41" i="5"/>
  <c r="E41" i="5"/>
  <c r="R40" i="5"/>
  <c r="S40" i="5" s="1"/>
  <c r="Q40" i="5"/>
  <c r="O40" i="5"/>
  <c r="M40" i="5"/>
  <c r="K40" i="5"/>
  <c r="I40" i="5"/>
  <c r="G40" i="5"/>
  <c r="E40" i="5"/>
  <c r="R39" i="5"/>
  <c r="S39" i="5" s="1"/>
  <c r="Q39" i="5"/>
  <c r="O39" i="5"/>
  <c r="M39" i="5"/>
  <c r="K39" i="5"/>
  <c r="I39" i="5"/>
  <c r="G39" i="5"/>
  <c r="E39" i="5"/>
  <c r="R38" i="5"/>
  <c r="S38" i="5" s="1"/>
  <c r="Q38" i="5"/>
  <c r="O38" i="5"/>
  <c r="M38" i="5"/>
  <c r="K38" i="5"/>
  <c r="G38" i="5"/>
  <c r="E38" i="5"/>
  <c r="R37" i="5"/>
  <c r="S37" i="5" s="1"/>
  <c r="Q37" i="5"/>
  <c r="O37" i="5"/>
  <c r="M37" i="5"/>
  <c r="K37" i="5"/>
  <c r="G37" i="5"/>
  <c r="E37" i="5"/>
  <c r="R36" i="5"/>
  <c r="S36" i="5" s="1"/>
  <c r="Q36" i="5"/>
  <c r="O36" i="5"/>
  <c r="M36" i="5"/>
  <c r="K36" i="5"/>
  <c r="G36" i="5"/>
  <c r="E36" i="5"/>
  <c r="R35" i="5"/>
  <c r="S35" i="5" s="1"/>
  <c r="Q35" i="5"/>
  <c r="O35" i="5"/>
  <c r="M35" i="5"/>
  <c r="I35" i="5"/>
  <c r="G35" i="5"/>
  <c r="E35" i="5"/>
  <c r="R34" i="5"/>
  <c r="S34" i="5" s="1"/>
  <c r="Q34" i="5"/>
  <c r="O34" i="5"/>
  <c r="M34" i="5"/>
  <c r="K34" i="5"/>
  <c r="I34" i="5"/>
  <c r="G34" i="5"/>
  <c r="E34" i="5"/>
  <c r="R33" i="5"/>
  <c r="S33" i="5" s="1"/>
  <c r="Q33" i="5"/>
  <c r="O33" i="5"/>
  <c r="M33" i="5"/>
  <c r="K33" i="5"/>
  <c r="I33" i="5"/>
  <c r="G33" i="5"/>
  <c r="E33" i="5"/>
  <c r="R32" i="5"/>
  <c r="S32" i="5" s="1"/>
  <c r="Q32" i="5"/>
  <c r="O32" i="5"/>
  <c r="M32" i="5"/>
  <c r="I32" i="5"/>
  <c r="G32" i="5"/>
  <c r="E32" i="5"/>
  <c r="Q31" i="5"/>
  <c r="O31" i="5"/>
  <c r="M31" i="5"/>
  <c r="G31" i="5"/>
  <c r="E31" i="5"/>
  <c r="Q30" i="5"/>
  <c r="O30" i="5"/>
  <c r="M30" i="5"/>
  <c r="G30" i="5"/>
  <c r="E30" i="5"/>
  <c r="Q29" i="5"/>
  <c r="O29" i="5"/>
  <c r="M29" i="5"/>
  <c r="I29" i="5"/>
  <c r="G29" i="5"/>
  <c r="E29" i="5"/>
  <c r="Q28" i="5"/>
  <c r="O28" i="5"/>
  <c r="M28" i="5"/>
  <c r="I28" i="5"/>
  <c r="G28" i="5"/>
  <c r="E28" i="5"/>
  <c r="Q27" i="5"/>
  <c r="O27" i="5"/>
  <c r="M27" i="5"/>
  <c r="I27" i="5"/>
  <c r="G27" i="5"/>
  <c r="E27" i="5"/>
  <c r="Q26" i="5"/>
  <c r="O26" i="5"/>
  <c r="M26" i="5"/>
  <c r="I26" i="5"/>
  <c r="G26" i="5"/>
  <c r="E26" i="5"/>
  <c r="R25" i="5"/>
  <c r="S25" i="5" s="1"/>
  <c r="Q25" i="5"/>
  <c r="O25" i="5"/>
  <c r="M25" i="5"/>
  <c r="K25" i="5"/>
  <c r="I25" i="5"/>
  <c r="G25" i="5"/>
  <c r="E25" i="5"/>
  <c r="R24" i="5"/>
  <c r="S24" i="5" s="1"/>
  <c r="Q24" i="5"/>
  <c r="O24" i="5"/>
  <c r="M24" i="5"/>
  <c r="K24" i="5"/>
  <c r="I24" i="5"/>
  <c r="G24" i="5"/>
  <c r="E24" i="5"/>
  <c r="Q23" i="5"/>
  <c r="O23" i="5"/>
  <c r="M23" i="5"/>
  <c r="G23" i="5"/>
  <c r="E23" i="5"/>
  <c r="Q22" i="5"/>
  <c r="O22" i="5"/>
  <c r="M22" i="5"/>
  <c r="G22" i="5"/>
  <c r="E22" i="5"/>
  <c r="R21" i="5"/>
  <c r="S21" i="5" s="1"/>
  <c r="Q21" i="5"/>
  <c r="O21" i="5"/>
  <c r="M21" i="5"/>
  <c r="I21" i="5"/>
  <c r="G21" i="5"/>
  <c r="E21" i="5"/>
  <c r="Q20" i="5"/>
  <c r="O20" i="5"/>
  <c r="M20" i="5"/>
  <c r="I20" i="5"/>
  <c r="G20" i="5"/>
  <c r="E20" i="5"/>
  <c r="Q19" i="5"/>
  <c r="O19" i="5"/>
  <c r="M19" i="5"/>
  <c r="K19" i="5"/>
  <c r="I19" i="5"/>
  <c r="G19" i="5"/>
  <c r="E19" i="5"/>
  <c r="R18" i="5"/>
  <c r="S18" i="5" s="1"/>
  <c r="Q18" i="5"/>
  <c r="O18" i="5"/>
  <c r="M18" i="5"/>
  <c r="K18" i="5"/>
  <c r="I18" i="5"/>
  <c r="G18" i="5"/>
  <c r="E18" i="5"/>
  <c r="Q17" i="5"/>
  <c r="O17" i="5"/>
  <c r="M17" i="5"/>
  <c r="I17" i="5"/>
  <c r="G17" i="5"/>
  <c r="E17" i="5"/>
  <c r="Q16" i="5"/>
  <c r="O16" i="5"/>
  <c r="M16" i="5"/>
  <c r="I16" i="5"/>
  <c r="G16" i="5"/>
  <c r="E16" i="5"/>
  <c r="Q15" i="5"/>
  <c r="O15" i="5"/>
  <c r="M15" i="5"/>
  <c r="I15" i="5"/>
  <c r="G15" i="5"/>
  <c r="E15" i="5"/>
  <c r="Q14" i="5"/>
  <c r="O14" i="5"/>
  <c r="M14" i="5"/>
  <c r="I14" i="5"/>
  <c r="G14" i="5"/>
  <c r="E14" i="5"/>
  <c r="Q13" i="5"/>
  <c r="O13" i="5"/>
  <c r="M13" i="5"/>
  <c r="I13" i="5"/>
  <c r="G13" i="5"/>
  <c r="E13" i="5"/>
  <c r="R12" i="5"/>
  <c r="S12" i="5" s="1"/>
  <c r="Q12" i="5"/>
  <c r="O12" i="5"/>
  <c r="M12" i="5"/>
  <c r="K12" i="5"/>
  <c r="I12" i="5"/>
  <c r="G12" i="5"/>
  <c r="E12" i="5"/>
  <c r="F12" i="4"/>
  <c r="R48" i="4"/>
  <c r="S48" i="4" s="1"/>
  <c r="Q48" i="4"/>
  <c r="O48" i="4"/>
  <c r="M48" i="4"/>
  <c r="K48" i="4"/>
  <c r="R47" i="4"/>
  <c r="S47" i="4" s="1"/>
  <c r="Q47" i="4"/>
  <c r="O47" i="4"/>
  <c r="M47" i="4"/>
  <c r="K47" i="4"/>
  <c r="I47" i="4"/>
  <c r="G47" i="4"/>
  <c r="E47" i="4"/>
  <c r="R46" i="4"/>
  <c r="S46" i="4" s="1"/>
  <c r="Q46" i="4"/>
  <c r="O46" i="4"/>
  <c r="M46" i="4"/>
  <c r="K46" i="4"/>
  <c r="I46" i="4"/>
  <c r="G46" i="4"/>
  <c r="E46" i="4"/>
  <c r="R45" i="4"/>
  <c r="S45" i="4" s="1"/>
  <c r="Q45" i="4"/>
  <c r="O45" i="4"/>
  <c r="M45" i="4"/>
  <c r="K45" i="4"/>
  <c r="I45" i="4"/>
  <c r="G45" i="4"/>
  <c r="E45" i="4"/>
  <c r="R44" i="4"/>
  <c r="S44" i="4" s="1"/>
  <c r="Q44" i="4"/>
  <c r="O44" i="4"/>
  <c r="M44" i="4"/>
  <c r="K44" i="4"/>
  <c r="I44" i="4"/>
  <c r="G44" i="4"/>
  <c r="E44" i="4"/>
  <c r="R43" i="4"/>
  <c r="S43" i="4" s="1"/>
  <c r="Q43" i="4"/>
  <c r="O43" i="4"/>
  <c r="M43" i="4"/>
  <c r="K43" i="4"/>
  <c r="I43" i="4"/>
  <c r="G43" i="4"/>
  <c r="E43" i="4"/>
  <c r="R42" i="4"/>
  <c r="S42" i="4" s="1"/>
  <c r="Q42" i="4"/>
  <c r="O42" i="4"/>
  <c r="M42" i="4"/>
  <c r="K42" i="4"/>
  <c r="I42" i="4"/>
  <c r="G42" i="4"/>
  <c r="E42" i="4"/>
  <c r="R41" i="4"/>
  <c r="S41" i="4" s="1"/>
  <c r="Q41" i="4"/>
  <c r="O41" i="4"/>
  <c r="M41" i="4"/>
  <c r="K41" i="4"/>
  <c r="I41" i="4"/>
  <c r="G41" i="4"/>
  <c r="E41" i="4"/>
  <c r="R40" i="4"/>
  <c r="S40" i="4" s="1"/>
  <c r="Q40" i="4"/>
  <c r="O40" i="4"/>
  <c r="M40" i="4"/>
  <c r="K40" i="4"/>
  <c r="I40" i="4"/>
  <c r="G40" i="4"/>
  <c r="E40" i="4"/>
  <c r="R39" i="4"/>
  <c r="S39" i="4" s="1"/>
  <c r="Q39" i="4"/>
  <c r="O39" i="4"/>
  <c r="M39" i="4"/>
  <c r="K39" i="4"/>
  <c r="I39" i="4"/>
  <c r="G39" i="4"/>
  <c r="E39" i="4"/>
  <c r="S38" i="4"/>
  <c r="R38" i="4"/>
  <c r="Q38" i="4"/>
  <c r="O38" i="4"/>
  <c r="M38" i="4"/>
  <c r="K38" i="4"/>
  <c r="I38" i="4"/>
  <c r="G38" i="4"/>
  <c r="E38" i="4"/>
  <c r="R37" i="4"/>
  <c r="S37" i="4" s="1"/>
  <c r="Q37" i="4"/>
  <c r="O37" i="4"/>
  <c r="M37" i="4"/>
  <c r="K37" i="4"/>
  <c r="I37" i="4"/>
  <c r="G37" i="4"/>
  <c r="E37" i="4"/>
  <c r="R36" i="4"/>
  <c r="S36" i="4" s="1"/>
  <c r="Q36" i="4"/>
  <c r="O36" i="4"/>
  <c r="M36" i="4"/>
  <c r="K36" i="4"/>
  <c r="I36" i="4"/>
  <c r="G36" i="4"/>
  <c r="E36" i="4"/>
  <c r="R35" i="4"/>
  <c r="S35" i="4" s="1"/>
  <c r="Q35" i="4"/>
  <c r="O35" i="4"/>
  <c r="M35" i="4"/>
  <c r="K35" i="4"/>
  <c r="I35" i="4"/>
  <c r="G35" i="4"/>
  <c r="E35" i="4"/>
  <c r="R34" i="4"/>
  <c r="S34" i="4" s="1"/>
  <c r="Q34" i="4"/>
  <c r="O34" i="4"/>
  <c r="M34" i="4"/>
  <c r="K34" i="4"/>
  <c r="I34" i="4"/>
  <c r="G34" i="4"/>
  <c r="E34" i="4"/>
  <c r="R33" i="4"/>
  <c r="S33" i="4" s="1"/>
  <c r="Q33" i="4"/>
  <c r="O33" i="4"/>
  <c r="M33" i="4"/>
  <c r="K33" i="4"/>
  <c r="I33" i="4"/>
  <c r="G33" i="4"/>
  <c r="E33" i="4"/>
  <c r="R32" i="4"/>
  <c r="S32" i="4" s="1"/>
  <c r="Q32" i="4"/>
  <c r="O32" i="4"/>
  <c r="M32" i="4"/>
  <c r="K32" i="4"/>
  <c r="I32" i="4"/>
  <c r="G32" i="4"/>
  <c r="E32" i="4"/>
  <c r="R31" i="4"/>
  <c r="S31" i="4" s="1"/>
  <c r="Q31" i="4"/>
  <c r="O31" i="4"/>
  <c r="M31" i="4"/>
  <c r="K31" i="4"/>
  <c r="I31" i="4"/>
  <c r="G31" i="4"/>
  <c r="E31" i="4"/>
  <c r="S30" i="4"/>
  <c r="R30" i="4"/>
  <c r="Q30" i="4"/>
  <c r="O30" i="4"/>
  <c r="M30" i="4"/>
  <c r="I30" i="4"/>
  <c r="G30" i="4"/>
  <c r="E30" i="4"/>
  <c r="S29" i="4"/>
  <c r="R29" i="4"/>
  <c r="Q29" i="4"/>
  <c r="O29" i="4"/>
  <c r="M29" i="4"/>
  <c r="K29" i="4"/>
  <c r="I29" i="4"/>
  <c r="G29" i="4"/>
  <c r="E29" i="4"/>
  <c r="R28" i="4"/>
  <c r="S28" i="4" s="1"/>
  <c r="Q28" i="4"/>
  <c r="O28" i="4"/>
  <c r="M28" i="4"/>
  <c r="K28" i="4"/>
  <c r="I28" i="4"/>
  <c r="G28" i="4"/>
  <c r="E28" i="4"/>
  <c r="R27" i="4"/>
  <c r="S27" i="4" s="1"/>
  <c r="Q27" i="4"/>
  <c r="O27" i="4"/>
  <c r="M27" i="4"/>
  <c r="K27" i="4"/>
  <c r="I27" i="4"/>
  <c r="G27" i="4"/>
  <c r="E27" i="4"/>
  <c r="R26" i="4"/>
  <c r="S26" i="4" s="1"/>
  <c r="Q26" i="4"/>
  <c r="O26" i="4"/>
  <c r="M26" i="4"/>
  <c r="K26" i="4"/>
  <c r="I26" i="4"/>
  <c r="G26" i="4"/>
  <c r="E26" i="4"/>
  <c r="R25" i="4"/>
  <c r="S25" i="4" s="1"/>
  <c r="Q25" i="4"/>
  <c r="O25" i="4"/>
  <c r="M25" i="4"/>
  <c r="K25" i="4"/>
  <c r="I25" i="4"/>
  <c r="G25" i="4"/>
  <c r="E25" i="4"/>
  <c r="R24" i="4"/>
  <c r="S24" i="4" s="1"/>
  <c r="Q24" i="4"/>
  <c r="O24" i="4"/>
  <c r="M24" i="4"/>
  <c r="K24" i="4"/>
  <c r="I24" i="4"/>
  <c r="G24" i="4"/>
  <c r="E24" i="4"/>
  <c r="R23" i="4"/>
  <c r="S23" i="4" s="1"/>
  <c r="Q23" i="4"/>
  <c r="O23" i="4"/>
  <c r="M23" i="4"/>
  <c r="K23" i="4"/>
  <c r="I23" i="4"/>
  <c r="G23" i="4"/>
  <c r="E23" i="4"/>
  <c r="R22" i="4"/>
  <c r="S22" i="4" s="1"/>
  <c r="Q22" i="4"/>
  <c r="O22" i="4"/>
  <c r="M22" i="4"/>
  <c r="K22" i="4"/>
  <c r="I22" i="4"/>
  <c r="G22" i="4"/>
  <c r="E22" i="4"/>
  <c r="R21" i="4"/>
  <c r="S21" i="4" s="1"/>
  <c r="Q21" i="4"/>
  <c r="O21" i="4"/>
  <c r="M21" i="4"/>
  <c r="K21" i="4"/>
  <c r="I21" i="4"/>
  <c r="G21" i="4"/>
  <c r="E21" i="4"/>
  <c r="R20" i="4"/>
  <c r="S20" i="4" s="1"/>
  <c r="Q20" i="4"/>
  <c r="O20" i="4"/>
  <c r="M20" i="4"/>
  <c r="K20" i="4"/>
  <c r="I20" i="4"/>
  <c r="G20" i="4"/>
  <c r="E20" i="4"/>
  <c r="R19" i="4"/>
  <c r="S19" i="4" s="1"/>
  <c r="Q19" i="4"/>
  <c r="O19" i="4"/>
  <c r="M19" i="4"/>
  <c r="K19" i="4"/>
  <c r="I19" i="4"/>
  <c r="G19" i="4"/>
  <c r="E19" i="4"/>
  <c r="R18" i="4"/>
  <c r="S18" i="4" s="1"/>
  <c r="Q18" i="4"/>
  <c r="O18" i="4"/>
  <c r="M18" i="4"/>
  <c r="K18" i="4"/>
  <c r="I18" i="4"/>
  <c r="G18" i="4"/>
  <c r="E18" i="4"/>
  <c r="R17" i="4"/>
  <c r="S17" i="4" s="1"/>
  <c r="Q17" i="4"/>
  <c r="O17" i="4"/>
  <c r="M17" i="4"/>
  <c r="K17" i="4"/>
  <c r="I17" i="4"/>
  <c r="G17" i="4"/>
  <c r="E17" i="4"/>
  <c r="R16" i="4"/>
  <c r="S16" i="4" s="1"/>
  <c r="Q16" i="4"/>
  <c r="O16" i="4"/>
  <c r="M16" i="4"/>
  <c r="K16" i="4"/>
  <c r="I16" i="4"/>
  <c r="G16" i="4"/>
  <c r="E16" i="4"/>
  <c r="R15" i="4"/>
  <c r="S15" i="4" s="1"/>
  <c r="Q15" i="4"/>
  <c r="O15" i="4"/>
  <c r="M15" i="4"/>
  <c r="K15" i="4"/>
  <c r="I15" i="4"/>
  <c r="G15" i="4"/>
  <c r="E15" i="4"/>
  <c r="R14" i="4"/>
  <c r="S14" i="4" s="1"/>
  <c r="Q14" i="4"/>
  <c r="O14" i="4"/>
  <c r="M14" i="4"/>
  <c r="K14" i="4"/>
  <c r="I14" i="4"/>
  <c r="G14" i="4"/>
  <c r="E14" i="4"/>
  <c r="S13" i="4"/>
  <c r="R13" i="4"/>
  <c r="Q13" i="4"/>
  <c r="O13" i="4"/>
  <c r="M13" i="4"/>
  <c r="K13" i="4"/>
  <c r="I13" i="4"/>
  <c r="G13" i="4"/>
  <c r="E13" i="4"/>
  <c r="R12" i="4"/>
  <c r="S12" i="4" s="1"/>
  <c r="Q12" i="4"/>
  <c r="O12" i="4"/>
  <c r="M12" i="4"/>
  <c r="K12" i="4"/>
  <c r="I12" i="4"/>
  <c r="G12" i="4"/>
  <c r="E12" i="4"/>
  <c r="R48" i="2"/>
  <c r="S48" i="2" s="1"/>
  <c r="Q48" i="2"/>
  <c r="O48" i="2"/>
  <c r="M48" i="2"/>
  <c r="K48" i="2"/>
  <c r="R47" i="2"/>
  <c r="S47" i="2" s="1"/>
  <c r="Q47" i="2"/>
  <c r="O47" i="2"/>
  <c r="M47" i="2"/>
  <c r="K47" i="2"/>
  <c r="I47" i="2"/>
  <c r="G47" i="2"/>
  <c r="E47" i="2"/>
  <c r="R46" i="2"/>
  <c r="S46" i="2" s="1"/>
  <c r="Q46" i="2"/>
  <c r="O46" i="2"/>
  <c r="M46" i="2"/>
  <c r="K46" i="2"/>
  <c r="I46" i="2"/>
  <c r="G46" i="2"/>
  <c r="E46" i="2"/>
  <c r="R45" i="2"/>
  <c r="S45" i="2" s="1"/>
  <c r="Q45" i="2"/>
  <c r="O45" i="2"/>
  <c r="M45" i="2"/>
  <c r="K45" i="2"/>
  <c r="I45" i="2"/>
  <c r="G45" i="2"/>
  <c r="E45" i="2"/>
  <c r="R44" i="2"/>
  <c r="S44" i="2" s="1"/>
  <c r="Q44" i="2"/>
  <c r="O44" i="2"/>
  <c r="M44" i="2"/>
  <c r="K44" i="2"/>
  <c r="I44" i="2"/>
  <c r="G44" i="2"/>
  <c r="E44" i="2"/>
  <c r="R43" i="2"/>
  <c r="S43" i="2" s="1"/>
  <c r="Q43" i="2"/>
  <c r="O43" i="2"/>
  <c r="M43" i="2"/>
  <c r="K43" i="2"/>
  <c r="I43" i="2"/>
  <c r="G43" i="2"/>
  <c r="E43" i="2"/>
  <c r="R42" i="2"/>
  <c r="S42" i="2" s="1"/>
  <c r="Q42" i="2"/>
  <c r="O42" i="2"/>
  <c r="M42" i="2"/>
  <c r="K42" i="2"/>
  <c r="I42" i="2"/>
  <c r="G42" i="2"/>
  <c r="E42" i="2"/>
  <c r="R41" i="2"/>
  <c r="S41" i="2" s="1"/>
  <c r="Q41" i="2"/>
  <c r="O41" i="2"/>
  <c r="M41" i="2"/>
  <c r="K41" i="2"/>
  <c r="I41" i="2"/>
  <c r="G41" i="2"/>
  <c r="E41" i="2"/>
  <c r="R40" i="2"/>
  <c r="S40" i="2" s="1"/>
  <c r="Q40" i="2"/>
  <c r="O40" i="2"/>
  <c r="M40" i="2"/>
  <c r="K40" i="2"/>
  <c r="I40" i="2"/>
  <c r="G40" i="2"/>
  <c r="E40" i="2"/>
  <c r="R39" i="2"/>
  <c r="S39" i="2" s="1"/>
  <c r="Q39" i="2"/>
  <c r="O39" i="2"/>
  <c r="M39" i="2"/>
  <c r="K39" i="2"/>
  <c r="I39" i="2"/>
  <c r="G39" i="2"/>
  <c r="E39" i="2"/>
  <c r="S38" i="2"/>
  <c r="R38" i="2"/>
  <c r="Q38" i="2"/>
  <c r="O38" i="2"/>
  <c r="M38" i="2"/>
  <c r="K38" i="2"/>
  <c r="I38" i="2"/>
  <c r="G38" i="2"/>
  <c r="E38" i="2"/>
  <c r="R37" i="2"/>
  <c r="S37" i="2" s="1"/>
  <c r="Q37" i="2"/>
  <c r="O37" i="2"/>
  <c r="M37" i="2"/>
  <c r="K37" i="2"/>
  <c r="I37" i="2"/>
  <c r="G37" i="2"/>
  <c r="E37" i="2"/>
  <c r="S36" i="2"/>
  <c r="R36" i="2"/>
  <c r="Q36" i="2"/>
  <c r="O36" i="2"/>
  <c r="M36" i="2"/>
  <c r="K36" i="2"/>
  <c r="I36" i="2"/>
  <c r="G36" i="2"/>
  <c r="E36" i="2"/>
  <c r="R35" i="2"/>
  <c r="S35" i="2" s="1"/>
  <c r="Q35" i="2"/>
  <c r="O35" i="2"/>
  <c r="M35" i="2"/>
  <c r="K35" i="2"/>
  <c r="I35" i="2"/>
  <c r="G35" i="2"/>
  <c r="E35" i="2"/>
  <c r="R34" i="2"/>
  <c r="S34" i="2" s="1"/>
  <c r="Q34" i="2"/>
  <c r="O34" i="2"/>
  <c r="M34" i="2"/>
  <c r="K34" i="2"/>
  <c r="I34" i="2"/>
  <c r="G34" i="2"/>
  <c r="E34" i="2"/>
  <c r="R33" i="2"/>
  <c r="S33" i="2" s="1"/>
  <c r="Q33" i="2"/>
  <c r="O33" i="2"/>
  <c r="M33" i="2"/>
  <c r="K33" i="2"/>
  <c r="I33" i="2"/>
  <c r="G33" i="2"/>
  <c r="E33" i="2"/>
  <c r="R32" i="2"/>
  <c r="S32" i="2" s="1"/>
  <c r="Q32" i="2"/>
  <c r="O32" i="2"/>
  <c r="M32" i="2"/>
  <c r="K32" i="2"/>
  <c r="I32" i="2"/>
  <c r="G32" i="2"/>
  <c r="E32" i="2"/>
  <c r="R31" i="2"/>
  <c r="S31" i="2" s="1"/>
  <c r="Q31" i="2"/>
  <c r="O31" i="2"/>
  <c r="M31" i="2"/>
  <c r="K31" i="2"/>
  <c r="I31" i="2"/>
  <c r="G31" i="2"/>
  <c r="E31" i="2"/>
  <c r="R30" i="2"/>
  <c r="S30" i="2" s="1"/>
  <c r="Q30" i="2"/>
  <c r="O30" i="2"/>
  <c r="M30" i="2"/>
  <c r="I30" i="2"/>
  <c r="G30" i="2"/>
  <c r="E30" i="2"/>
  <c r="R29" i="2"/>
  <c r="S29" i="2" s="1"/>
  <c r="Q29" i="2"/>
  <c r="O29" i="2"/>
  <c r="M29" i="2"/>
  <c r="K29" i="2"/>
  <c r="I29" i="2"/>
  <c r="G29" i="2"/>
  <c r="E29" i="2"/>
  <c r="Q28" i="2"/>
  <c r="O28" i="2"/>
  <c r="M28" i="2"/>
  <c r="K28" i="2"/>
  <c r="I28" i="2"/>
  <c r="G28" i="2"/>
  <c r="E28" i="2"/>
  <c r="R27" i="2"/>
  <c r="S27" i="2" s="1"/>
  <c r="Q27" i="2"/>
  <c r="O27" i="2"/>
  <c r="M27" i="2"/>
  <c r="K27" i="2"/>
  <c r="I27" i="2"/>
  <c r="G27" i="2"/>
  <c r="E27" i="2"/>
  <c r="Q26" i="2"/>
  <c r="O26" i="2"/>
  <c r="M26" i="2"/>
  <c r="K26" i="2"/>
  <c r="I26" i="2"/>
  <c r="G26" i="2"/>
  <c r="R26" i="2"/>
  <c r="S26" i="2" s="1"/>
  <c r="Q25" i="2"/>
  <c r="O25" i="2"/>
  <c r="M25" i="2"/>
  <c r="K25" i="2"/>
  <c r="I25" i="2"/>
  <c r="R25" i="2"/>
  <c r="S25" i="2" s="1"/>
  <c r="E25" i="2"/>
  <c r="R24" i="2"/>
  <c r="S24" i="2" s="1"/>
  <c r="Q24" i="2"/>
  <c r="O24" i="2"/>
  <c r="M24" i="2"/>
  <c r="K24" i="2"/>
  <c r="I24" i="2"/>
  <c r="G24" i="2"/>
  <c r="E24" i="2"/>
  <c r="Q23" i="2"/>
  <c r="O23" i="2"/>
  <c r="M23" i="2"/>
  <c r="K23" i="2"/>
  <c r="I23" i="2"/>
  <c r="G23" i="2"/>
  <c r="E23" i="2"/>
  <c r="Q22" i="2"/>
  <c r="O22" i="2"/>
  <c r="M22" i="2"/>
  <c r="K22" i="2"/>
  <c r="I22" i="2"/>
  <c r="G22" i="2"/>
  <c r="E22" i="2"/>
  <c r="Q21" i="2"/>
  <c r="O21" i="2"/>
  <c r="M21" i="2"/>
  <c r="K21" i="2"/>
  <c r="I21" i="2"/>
  <c r="R21" i="2"/>
  <c r="S21" i="2" s="1"/>
  <c r="E21" i="2"/>
  <c r="Q20" i="2"/>
  <c r="O20" i="2"/>
  <c r="M20" i="2"/>
  <c r="K20" i="2"/>
  <c r="I20" i="2"/>
  <c r="R20" i="2"/>
  <c r="S20" i="2" s="1"/>
  <c r="E20" i="2"/>
  <c r="Q19" i="2"/>
  <c r="O19" i="2"/>
  <c r="M19" i="2"/>
  <c r="K19" i="2"/>
  <c r="I19" i="2"/>
  <c r="G19" i="2"/>
  <c r="R19" i="2"/>
  <c r="S19" i="2" s="1"/>
  <c r="R18" i="2"/>
  <c r="S18" i="2" s="1"/>
  <c r="Q18" i="2"/>
  <c r="O18" i="2"/>
  <c r="M18" i="2"/>
  <c r="K18" i="2"/>
  <c r="I18" i="2"/>
  <c r="G18" i="2"/>
  <c r="E18" i="2"/>
  <c r="Q17" i="2"/>
  <c r="O17" i="2"/>
  <c r="M17" i="2"/>
  <c r="K17" i="2"/>
  <c r="I17" i="2"/>
  <c r="G17" i="2"/>
  <c r="R17" i="2"/>
  <c r="S17" i="2" s="1"/>
  <c r="E17" i="2"/>
  <c r="Q16" i="2"/>
  <c r="O16" i="2"/>
  <c r="M16" i="2"/>
  <c r="K16" i="2"/>
  <c r="I16" i="2"/>
  <c r="G16" i="2"/>
  <c r="E16" i="2"/>
  <c r="R15" i="2"/>
  <c r="S15" i="2" s="1"/>
  <c r="Q15" i="2"/>
  <c r="O15" i="2"/>
  <c r="M15" i="2"/>
  <c r="K15" i="2"/>
  <c r="I15" i="2"/>
  <c r="G15" i="2"/>
  <c r="E15" i="2"/>
  <c r="Q14" i="2"/>
  <c r="O14" i="2"/>
  <c r="M14" i="2"/>
  <c r="R14" i="2"/>
  <c r="S14" i="2" s="1"/>
  <c r="I14" i="2"/>
  <c r="G14" i="2"/>
  <c r="E14" i="2"/>
  <c r="Q13" i="2"/>
  <c r="O13" i="2"/>
  <c r="M13" i="2"/>
  <c r="K13" i="2"/>
  <c r="I13" i="2"/>
  <c r="R13" i="2"/>
  <c r="S13" i="2" s="1"/>
  <c r="E13" i="2"/>
  <c r="Q12" i="2"/>
  <c r="O12" i="2"/>
  <c r="M12" i="2"/>
  <c r="K12" i="2"/>
  <c r="I12" i="2"/>
  <c r="G12" i="2"/>
  <c r="E12" i="2"/>
  <c r="J25" i="1"/>
  <c r="J23" i="1"/>
  <c r="J22" i="1"/>
  <c r="J21" i="1"/>
  <c r="J20" i="1"/>
  <c r="J19" i="1"/>
  <c r="J14" i="1"/>
  <c r="J13" i="1"/>
  <c r="J12" i="1"/>
  <c r="F23" i="1"/>
  <c r="H22" i="1"/>
  <c r="H21" i="1"/>
  <c r="H20" i="1"/>
  <c r="H19" i="1"/>
  <c r="H16" i="1"/>
  <c r="H14" i="1"/>
  <c r="H13" i="1"/>
  <c r="H12" i="1"/>
  <c r="H26" i="1"/>
  <c r="D26" i="1"/>
  <c r="H25" i="1"/>
  <c r="H17" i="1"/>
  <c r="F13" i="1"/>
  <c r="E30" i="1"/>
  <c r="E31" i="1"/>
  <c r="D23" i="1"/>
  <c r="F26" i="1"/>
  <c r="F25" i="1"/>
  <c r="F22" i="1"/>
  <c r="F21" i="1"/>
  <c r="F20" i="1"/>
  <c r="F19" i="1"/>
  <c r="F17" i="1"/>
  <c r="F16" i="1"/>
  <c r="F14" i="1"/>
  <c r="F12" i="1"/>
  <c r="D28" i="1"/>
  <c r="D25" i="1"/>
  <c r="D24" i="1"/>
  <c r="D22" i="1"/>
  <c r="D21" i="1"/>
  <c r="D20" i="1"/>
  <c r="D19" i="1"/>
  <c r="D17" i="1"/>
  <c r="D16" i="1"/>
  <c r="D14" i="1"/>
  <c r="E14" i="1" s="1"/>
  <c r="D13" i="1"/>
  <c r="D12" i="1"/>
  <c r="E50" i="6" l="1"/>
  <c r="E52" i="6" s="1"/>
  <c r="E54" i="6" s="1"/>
  <c r="M50" i="6"/>
  <c r="M52" i="6" s="1"/>
  <c r="M54" i="6" s="1"/>
  <c r="G50" i="6"/>
  <c r="G52" i="6" s="1"/>
  <c r="G54" i="6" s="1"/>
  <c r="O52" i="6"/>
  <c r="O54" i="6" s="1"/>
  <c r="S50" i="6"/>
  <c r="K52" i="6"/>
  <c r="K54" i="6" s="1"/>
  <c r="Q52" i="6"/>
  <c r="Q54" i="6" s="1"/>
  <c r="I12" i="6"/>
  <c r="I50" i="6" s="1"/>
  <c r="Q50" i="4"/>
  <c r="M50" i="2"/>
  <c r="M52" i="2" s="1"/>
  <c r="M54" i="2" s="1"/>
  <c r="K26" i="5"/>
  <c r="R16" i="5"/>
  <c r="S16" i="5" s="1"/>
  <c r="R17" i="5"/>
  <c r="S17" i="5" s="1"/>
  <c r="K27" i="5"/>
  <c r="K20" i="5"/>
  <c r="K30" i="5"/>
  <c r="K22" i="5"/>
  <c r="K14" i="5"/>
  <c r="I22" i="5"/>
  <c r="I23" i="5"/>
  <c r="R31" i="5"/>
  <c r="S31" i="5" s="1"/>
  <c r="R28" i="5"/>
  <c r="S28" i="5" s="1"/>
  <c r="K13" i="5"/>
  <c r="R23" i="5"/>
  <c r="S23" i="5" s="1"/>
  <c r="R15" i="5"/>
  <c r="S15" i="5" s="1"/>
  <c r="I31" i="5"/>
  <c r="Q44" i="5"/>
  <c r="Q46" i="5" s="1"/>
  <c r="Q48" i="5" s="1"/>
  <c r="E44" i="5"/>
  <c r="E46" i="5" s="1"/>
  <c r="E48" i="5" s="1"/>
  <c r="G44" i="5"/>
  <c r="G46" i="5" s="1"/>
  <c r="G48" i="5" s="1"/>
  <c r="M44" i="5"/>
  <c r="M46" i="5" s="1"/>
  <c r="M48" i="5" s="1"/>
  <c r="O44" i="5"/>
  <c r="O46" i="5" s="1"/>
  <c r="O48" i="5" s="1"/>
  <c r="E50" i="4"/>
  <c r="G50" i="4"/>
  <c r="G52" i="4" s="1"/>
  <c r="G54" i="4" s="1"/>
  <c r="I50" i="4"/>
  <c r="I52" i="4" s="1"/>
  <c r="I54" i="4" s="1"/>
  <c r="K50" i="4"/>
  <c r="M50" i="4"/>
  <c r="O50" i="4"/>
  <c r="O52" i="4" s="1"/>
  <c r="O54" i="4" s="1"/>
  <c r="S50" i="4"/>
  <c r="E52" i="4"/>
  <c r="E54" i="4" s="1"/>
  <c r="Q52" i="4"/>
  <c r="Q54" i="4" s="1"/>
  <c r="K52" i="4"/>
  <c r="K54" i="4" s="1"/>
  <c r="M52" i="4"/>
  <c r="M54" i="4" s="1"/>
  <c r="Q50" i="2"/>
  <c r="Q52" i="2" s="1"/>
  <c r="Q54" i="2" s="1"/>
  <c r="O50" i="2"/>
  <c r="O52" i="2" s="1"/>
  <c r="O54" i="2" s="1"/>
  <c r="I50" i="2"/>
  <c r="R23" i="2"/>
  <c r="S23" i="2" s="1"/>
  <c r="G13" i="2"/>
  <c r="G20" i="2"/>
  <c r="E26" i="2"/>
  <c r="R16" i="2"/>
  <c r="S16" i="2" s="1"/>
  <c r="E19" i="2"/>
  <c r="R12" i="2"/>
  <c r="S12" i="2" s="1"/>
  <c r="R22" i="2"/>
  <c r="S22" i="2" s="1"/>
  <c r="K14" i="2"/>
  <c r="K50" i="2" s="1"/>
  <c r="R28" i="2"/>
  <c r="S28" i="2" s="1"/>
  <c r="G21" i="2"/>
  <c r="G25" i="2"/>
  <c r="R48" i="1"/>
  <c r="S48" i="1" s="1"/>
  <c r="Q48" i="1"/>
  <c r="O48" i="1"/>
  <c r="M48" i="1"/>
  <c r="K48" i="1"/>
  <c r="R47" i="1"/>
  <c r="S47" i="1" s="1"/>
  <c r="Q47" i="1"/>
  <c r="O47" i="1"/>
  <c r="M47" i="1"/>
  <c r="K47" i="1"/>
  <c r="I47" i="1"/>
  <c r="G47" i="1"/>
  <c r="E47" i="1"/>
  <c r="R46" i="1"/>
  <c r="S46" i="1" s="1"/>
  <c r="Q46" i="1"/>
  <c r="O46" i="1"/>
  <c r="M46" i="1"/>
  <c r="K46" i="1"/>
  <c r="I46" i="1"/>
  <c r="G46" i="1"/>
  <c r="E46" i="1"/>
  <c r="R45" i="1"/>
  <c r="S45" i="1" s="1"/>
  <c r="Q45" i="1"/>
  <c r="O45" i="1"/>
  <c r="M45" i="1"/>
  <c r="K45" i="1"/>
  <c r="I45" i="1"/>
  <c r="G45" i="1"/>
  <c r="E45" i="1"/>
  <c r="R44" i="1"/>
  <c r="S44" i="1" s="1"/>
  <c r="Q44" i="1"/>
  <c r="O44" i="1"/>
  <c r="M44" i="1"/>
  <c r="K44" i="1"/>
  <c r="I44" i="1"/>
  <c r="G44" i="1"/>
  <c r="E44" i="1"/>
  <c r="R43" i="1"/>
  <c r="S43" i="1" s="1"/>
  <c r="Q43" i="1"/>
  <c r="O43" i="1"/>
  <c r="M43" i="1"/>
  <c r="K43" i="1"/>
  <c r="I43" i="1"/>
  <c r="G43" i="1"/>
  <c r="E43" i="1"/>
  <c r="R42" i="1"/>
  <c r="S42" i="1" s="1"/>
  <c r="Q42" i="1"/>
  <c r="O42" i="1"/>
  <c r="M42" i="1"/>
  <c r="K42" i="1"/>
  <c r="I42" i="1"/>
  <c r="G42" i="1"/>
  <c r="E42" i="1"/>
  <c r="R41" i="1"/>
  <c r="S41" i="1" s="1"/>
  <c r="Q41" i="1"/>
  <c r="O41" i="1"/>
  <c r="M41" i="1"/>
  <c r="K41" i="1"/>
  <c r="I41" i="1"/>
  <c r="G41" i="1"/>
  <c r="E41" i="1"/>
  <c r="R40" i="1"/>
  <c r="S40" i="1" s="1"/>
  <c r="Q40" i="1"/>
  <c r="O40" i="1"/>
  <c r="M40" i="1"/>
  <c r="K40" i="1"/>
  <c r="I40" i="1"/>
  <c r="G40" i="1"/>
  <c r="E40" i="1"/>
  <c r="R39" i="1"/>
  <c r="S39" i="1" s="1"/>
  <c r="Q39" i="1"/>
  <c r="O39" i="1"/>
  <c r="M39" i="1"/>
  <c r="K39" i="1"/>
  <c r="I39" i="1"/>
  <c r="G39" i="1"/>
  <c r="E39" i="1"/>
  <c r="R38" i="1"/>
  <c r="S38" i="1" s="1"/>
  <c r="Q38" i="1"/>
  <c r="O38" i="1"/>
  <c r="M38" i="1"/>
  <c r="K38" i="1"/>
  <c r="I38" i="1"/>
  <c r="G38" i="1"/>
  <c r="E38" i="1"/>
  <c r="R37" i="1"/>
  <c r="S37" i="1" s="1"/>
  <c r="Q37" i="1"/>
  <c r="O37" i="1"/>
  <c r="M37" i="1"/>
  <c r="K37" i="1"/>
  <c r="I37" i="1"/>
  <c r="G37" i="1"/>
  <c r="E37" i="1"/>
  <c r="R36" i="1"/>
  <c r="S36" i="1" s="1"/>
  <c r="Q36" i="1"/>
  <c r="O36" i="1"/>
  <c r="M36" i="1"/>
  <c r="K36" i="1"/>
  <c r="I36" i="1"/>
  <c r="G36" i="1"/>
  <c r="E36" i="1"/>
  <c r="R35" i="1"/>
  <c r="S35" i="1" s="1"/>
  <c r="Q35" i="1"/>
  <c r="O35" i="1"/>
  <c r="M35" i="1"/>
  <c r="K35" i="1"/>
  <c r="I35" i="1"/>
  <c r="G35" i="1"/>
  <c r="E35" i="1"/>
  <c r="R34" i="1"/>
  <c r="S34" i="1" s="1"/>
  <c r="Q34" i="1"/>
  <c r="O34" i="1"/>
  <c r="M34" i="1"/>
  <c r="K34" i="1"/>
  <c r="I34" i="1"/>
  <c r="G34" i="1"/>
  <c r="E34" i="1"/>
  <c r="R33" i="1"/>
  <c r="S33" i="1" s="1"/>
  <c r="Q33" i="1"/>
  <c r="O33" i="1"/>
  <c r="M33" i="1"/>
  <c r="K33" i="1"/>
  <c r="I33" i="1"/>
  <c r="G33" i="1"/>
  <c r="E33" i="1"/>
  <c r="R32" i="1"/>
  <c r="S32" i="1" s="1"/>
  <c r="Q32" i="1"/>
  <c r="O32" i="1"/>
  <c r="M32" i="1"/>
  <c r="K32" i="1"/>
  <c r="I32" i="1"/>
  <c r="G32" i="1"/>
  <c r="E32" i="1"/>
  <c r="R31" i="1"/>
  <c r="S31" i="1" s="1"/>
  <c r="Q31" i="1"/>
  <c r="O31" i="1"/>
  <c r="M31" i="1"/>
  <c r="K31" i="1"/>
  <c r="I31" i="1"/>
  <c r="G31" i="1"/>
  <c r="R30" i="1"/>
  <c r="S30" i="1" s="1"/>
  <c r="Q30" i="1"/>
  <c r="O30" i="1"/>
  <c r="M30" i="1"/>
  <c r="I30" i="1"/>
  <c r="G30" i="1"/>
  <c r="R29" i="1"/>
  <c r="S29" i="1" s="1"/>
  <c r="Q29" i="1"/>
  <c r="O29" i="1"/>
  <c r="M29" i="1"/>
  <c r="K29" i="1"/>
  <c r="I29" i="1"/>
  <c r="G29" i="1"/>
  <c r="E29" i="1"/>
  <c r="R28" i="1"/>
  <c r="S28" i="1" s="1"/>
  <c r="Q28" i="1"/>
  <c r="O28" i="1"/>
  <c r="M28" i="1"/>
  <c r="K28" i="1"/>
  <c r="I28" i="1"/>
  <c r="G28" i="1"/>
  <c r="E28" i="1"/>
  <c r="R27" i="1"/>
  <c r="S27" i="1" s="1"/>
  <c r="Q27" i="1"/>
  <c r="O27" i="1"/>
  <c r="M27" i="1"/>
  <c r="K27" i="1"/>
  <c r="I27" i="1"/>
  <c r="G27" i="1"/>
  <c r="E27" i="1"/>
  <c r="R26" i="1"/>
  <c r="S26" i="1" s="1"/>
  <c r="Q26" i="1"/>
  <c r="O26" i="1"/>
  <c r="M26" i="1"/>
  <c r="K26" i="1"/>
  <c r="I26" i="1"/>
  <c r="G26" i="1"/>
  <c r="E26" i="1"/>
  <c r="R25" i="1"/>
  <c r="S25" i="1" s="1"/>
  <c r="Q25" i="1"/>
  <c r="O25" i="1"/>
  <c r="M25" i="1"/>
  <c r="K25" i="1"/>
  <c r="I25" i="1"/>
  <c r="G25" i="1"/>
  <c r="E25" i="1"/>
  <c r="R24" i="1"/>
  <c r="S24" i="1" s="1"/>
  <c r="Q24" i="1"/>
  <c r="O24" i="1"/>
  <c r="M24" i="1"/>
  <c r="K24" i="1"/>
  <c r="I24" i="1"/>
  <c r="G24" i="1"/>
  <c r="E24" i="1"/>
  <c r="R23" i="1"/>
  <c r="S23" i="1" s="1"/>
  <c r="Q23" i="1"/>
  <c r="O23" i="1"/>
  <c r="M23" i="1"/>
  <c r="K23" i="1"/>
  <c r="I23" i="1"/>
  <c r="G23" i="1"/>
  <c r="E23" i="1"/>
  <c r="R22" i="1"/>
  <c r="S22" i="1" s="1"/>
  <c r="Q22" i="1"/>
  <c r="O22" i="1"/>
  <c r="M22" i="1"/>
  <c r="K22" i="1"/>
  <c r="I22" i="1"/>
  <c r="G22" i="1"/>
  <c r="E22" i="1"/>
  <c r="R21" i="1"/>
  <c r="S21" i="1" s="1"/>
  <c r="Q21" i="1"/>
  <c r="O21" i="1"/>
  <c r="M21" i="1"/>
  <c r="K21" i="1"/>
  <c r="I21" i="1"/>
  <c r="G21" i="1"/>
  <c r="E21" i="1"/>
  <c r="R20" i="1"/>
  <c r="S20" i="1" s="1"/>
  <c r="Q20" i="1"/>
  <c r="O20" i="1"/>
  <c r="M20" i="1"/>
  <c r="K20" i="1"/>
  <c r="I20" i="1"/>
  <c r="G20" i="1"/>
  <c r="E20" i="1"/>
  <c r="R19" i="1"/>
  <c r="S19" i="1" s="1"/>
  <c r="Q19" i="1"/>
  <c r="O19" i="1"/>
  <c r="M19" i="1"/>
  <c r="K19" i="1"/>
  <c r="I19" i="1"/>
  <c r="G19" i="1"/>
  <c r="E19" i="1"/>
  <c r="R18" i="1"/>
  <c r="S18" i="1" s="1"/>
  <c r="Q18" i="1"/>
  <c r="O18" i="1"/>
  <c r="M18" i="1"/>
  <c r="K18" i="1"/>
  <c r="I18" i="1"/>
  <c r="G18" i="1"/>
  <c r="E18" i="1"/>
  <c r="R17" i="1"/>
  <c r="S17" i="1" s="1"/>
  <c r="Q17" i="1"/>
  <c r="O17" i="1"/>
  <c r="M17" i="1"/>
  <c r="K17" i="1"/>
  <c r="I17" i="1"/>
  <c r="G17" i="1"/>
  <c r="E17" i="1"/>
  <c r="R16" i="1"/>
  <c r="S16" i="1" s="1"/>
  <c r="Q16" i="1"/>
  <c r="O16" i="1"/>
  <c r="M16" i="1"/>
  <c r="K16" i="1"/>
  <c r="I16" i="1"/>
  <c r="G16" i="1"/>
  <c r="E16" i="1"/>
  <c r="R15" i="1"/>
  <c r="S15" i="1" s="1"/>
  <c r="Q15" i="1"/>
  <c r="O15" i="1"/>
  <c r="M15" i="1"/>
  <c r="K15" i="1"/>
  <c r="I15" i="1"/>
  <c r="G15" i="1"/>
  <c r="E15" i="1"/>
  <c r="R14" i="1"/>
  <c r="S14" i="1" s="1"/>
  <c r="Q14" i="1"/>
  <c r="O14" i="1"/>
  <c r="M14" i="1"/>
  <c r="K14" i="1"/>
  <c r="I14" i="1"/>
  <c r="G14" i="1"/>
  <c r="R13" i="1"/>
  <c r="S13" i="1" s="1"/>
  <c r="Q13" i="1"/>
  <c r="O13" i="1"/>
  <c r="M13" i="1"/>
  <c r="K13" i="1"/>
  <c r="I13" i="1"/>
  <c r="G13" i="1"/>
  <c r="E13" i="1"/>
  <c r="R12" i="1"/>
  <c r="S12" i="1" s="1"/>
  <c r="Q12" i="1"/>
  <c r="O12" i="1"/>
  <c r="M12" i="1"/>
  <c r="K12" i="1"/>
  <c r="I12" i="1"/>
  <c r="G12" i="1"/>
  <c r="E12" i="1"/>
  <c r="Q55" i="6" l="1"/>
  <c r="Q59" i="6" s="1"/>
  <c r="O55" i="6"/>
  <c r="O59" i="6" s="1"/>
  <c r="M55" i="6"/>
  <c r="M59" i="6" s="1"/>
  <c r="G55" i="6"/>
  <c r="G59" i="6" s="1"/>
  <c r="K59" i="6"/>
  <c r="E55" i="6"/>
  <c r="E59" i="6" s="1"/>
  <c r="S52" i="6"/>
  <c r="S54" i="6" s="1"/>
  <c r="I52" i="6"/>
  <c r="I54" i="6" s="1"/>
  <c r="E50" i="2"/>
  <c r="E52" i="2" s="1"/>
  <c r="E54" i="2" s="1"/>
  <c r="G50" i="2"/>
  <c r="G52" i="2" s="1"/>
  <c r="G54" i="2" s="1"/>
  <c r="K44" i="5"/>
  <c r="K46" i="5" s="1"/>
  <c r="K48" i="5" s="1"/>
  <c r="K49" i="5" s="1"/>
  <c r="K53" i="5" s="1"/>
  <c r="R30" i="5"/>
  <c r="S30" i="5" s="1"/>
  <c r="I44" i="5"/>
  <c r="I46" i="5" s="1"/>
  <c r="I48" i="5" s="1"/>
  <c r="I49" i="5" s="1"/>
  <c r="I53" i="5" s="1"/>
  <c r="R14" i="5"/>
  <c r="S14" i="5" s="1"/>
  <c r="R22" i="5"/>
  <c r="S22" i="5" s="1"/>
  <c r="G49" i="5"/>
  <c r="G53" i="5" s="1"/>
  <c r="E49" i="5"/>
  <c r="E53" i="5" s="1"/>
  <c r="O49" i="5"/>
  <c r="O53" i="5" s="1"/>
  <c r="Q49" i="5"/>
  <c r="Q53" i="5" s="1"/>
  <c r="M49" i="5"/>
  <c r="M53" i="5" s="1"/>
  <c r="G55" i="4"/>
  <c r="G59" i="4" s="1"/>
  <c r="Q55" i="4"/>
  <c r="Q59" i="4" s="1"/>
  <c r="I55" i="4"/>
  <c r="I59" i="4" s="1"/>
  <c r="O55" i="4"/>
  <c r="O59" i="4" s="1"/>
  <c r="M55" i="4"/>
  <c r="M59" i="4" s="1"/>
  <c r="K55" i="4"/>
  <c r="K59" i="4" s="1"/>
  <c r="E55" i="4"/>
  <c r="E59" i="4" s="1"/>
  <c r="S52" i="4"/>
  <c r="S54" i="4" s="1"/>
  <c r="M55" i="2"/>
  <c r="M59" i="2" s="1"/>
  <c r="Q55" i="2"/>
  <c r="Q59" i="2" s="1"/>
  <c r="K52" i="2"/>
  <c r="K54" i="2" s="1"/>
  <c r="O55" i="2"/>
  <c r="O59" i="2" s="1"/>
  <c r="I52" i="2"/>
  <c r="I54" i="2" s="1"/>
  <c r="S50" i="2"/>
  <c r="Q50" i="1"/>
  <c r="Q52" i="1" s="1"/>
  <c r="Q54" i="1" s="1"/>
  <c r="K50" i="1"/>
  <c r="K52" i="1" s="1"/>
  <c r="K54" i="1" s="1"/>
  <c r="O50" i="1"/>
  <c r="O52" i="1" s="1"/>
  <c r="O54" i="1" s="1"/>
  <c r="E50" i="1"/>
  <c r="E52" i="1" s="1"/>
  <c r="E54" i="1" s="1"/>
  <c r="G50" i="1"/>
  <c r="G52" i="1" s="1"/>
  <c r="G54" i="1" s="1"/>
  <c r="I50" i="1"/>
  <c r="I52" i="1" s="1"/>
  <c r="M50" i="1"/>
  <c r="M52" i="1" s="1"/>
  <c r="M54" i="1" s="1"/>
  <c r="S50" i="1"/>
  <c r="I55" i="6" l="1"/>
  <c r="I59" i="6" s="1"/>
  <c r="S55" i="6"/>
  <c r="S59" i="6" s="1"/>
  <c r="S44" i="5"/>
  <c r="S55" i="4"/>
  <c r="S59" i="4" s="1"/>
  <c r="I55" i="2"/>
  <c r="I59" i="2" s="1"/>
  <c r="K55" i="2"/>
  <c r="K59" i="2" s="1"/>
  <c r="E55" i="2"/>
  <c r="E59" i="2" s="1"/>
  <c r="G55" i="2"/>
  <c r="G59" i="2" s="1"/>
  <c r="S52" i="2"/>
  <c r="S54" i="2" s="1"/>
  <c r="I54" i="1"/>
  <c r="I55" i="1" s="1"/>
  <c r="I59" i="1" s="1"/>
  <c r="K55" i="1"/>
  <c r="K59" i="1" s="1"/>
  <c r="Q55" i="1"/>
  <c r="Q59" i="1" s="1"/>
  <c r="M55" i="1"/>
  <c r="M59" i="1" s="1"/>
  <c r="G55" i="1"/>
  <c r="G59" i="1" s="1"/>
  <c r="E55" i="1"/>
  <c r="E59" i="1" s="1"/>
  <c r="O55" i="1"/>
  <c r="O59" i="1" s="1"/>
  <c r="S52" i="1"/>
  <c r="S54" i="1" s="1"/>
  <c r="S46" i="5" l="1"/>
  <c r="S48" i="5" s="1"/>
  <c r="S49" i="5" s="1"/>
  <c r="S53" i="5" s="1"/>
  <c r="S55" i="2"/>
  <c r="S59" i="2" s="1"/>
  <c r="S55" i="1"/>
  <c r="S59" i="1" s="1"/>
</calcChain>
</file>

<file path=xl/sharedStrings.xml><?xml version="1.0" encoding="utf-8"?>
<sst xmlns="http://schemas.openxmlformats.org/spreadsheetml/2006/main" count="299" uniqueCount="110">
  <si>
    <t>COMPARATIVA DE PRECIOS PEDIDO N° 1</t>
  </si>
  <si>
    <t>Designación</t>
  </si>
  <si>
    <t>Unid</t>
  </si>
  <si>
    <t>Cant</t>
  </si>
  <si>
    <t>Mejor precio</t>
  </si>
  <si>
    <t>Unitario</t>
  </si>
  <si>
    <t>Total</t>
  </si>
  <si>
    <t xml:space="preserve"> </t>
  </si>
  <si>
    <t>Subtotal-1</t>
  </si>
  <si>
    <t>Descuento</t>
  </si>
  <si>
    <t>Cotizacion Dólar/Peso</t>
  </si>
  <si>
    <t>Subtotal-2</t>
  </si>
  <si>
    <t xml:space="preserve">Cond. IVA </t>
  </si>
  <si>
    <t>otros impuestos</t>
  </si>
  <si>
    <t>FLETE</t>
  </si>
  <si>
    <t>TOTALES FINAL</t>
  </si>
  <si>
    <t>Observaciones:</t>
  </si>
  <si>
    <t>HIDROFUGO</t>
  </si>
  <si>
    <t>LADRILLO COMUN</t>
  </si>
  <si>
    <t>ud</t>
  </si>
  <si>
    <t>CORRALON 2448</t>
  </si>
  <si>
    <t>Ubicación: BELL VILLE, CORDOBA</t>
  </si>
  <si>
    <t>Córdoba, 29 DE DICIEMBRE 2025</t>
  </si>
  <si>
    <t>Obra: CASA DE LA CULTURA</t>
  </si>
  <si>
    <t>Rubro: ALBAÑILERIA - ACOPIO</t>
  </si>
  <si>
    <t>PROYECTA</t>
  </si>
  <si>
    <t>CEMENTO X 25KG</t>
  </si>
  <si>
    <t>ARENA GRUESA</t>
  </si>
  <si>
    <t>CASCOTES</t>
  </si>
  <si>
    <t>CAL AEREA X 25KG</t>
  </si>
  <si>
    <t>NYLON 200MCR ROLLO 2X50M</t>
  </si>
  <si>
    <t>SIKA INERTOL X LTS 10</t>
  </si>
  <si>
    <t xml:space="preserve">CAL HIDRATADA </t>
  </si>
  <si>
    <t>GRANZA</t>
  </si>
  <si>
    <t>ARENA FINA</t>
  </si>
  <si>
    <t>IPN 140 X 6M</t>
  </si>
  <si>
    <t>VENDA GEOTEXTIL 75GR</t>
  </si>
  <si>
    <t>SIKAFLEX</t>
  </si>
  <si>
    <t>SIKAFILL X 20KG</t>
  </si>
  <si>
    <t>m3</t>
  </si>
  <si>
    <t>lts</t>
  </si>
  <si>
    <t>unid</t>
  </si>
  <si>
    <t>m2</t>
  </si>
  <si>
    <t>PALLETS DE CEMENTO</t>
  </si>
  <si>
    <t>GROPPO CONSTRUCCION</t>
  </si>
  <si>
    <t xml:space="preserve"> *Nylon : 200mcr
*Aridos en bolson
*cheque 30/60</t>
  </si>
  <si>
    <t xml:space="preserve"> *Nylon : 100mcr
*No tiene sikafill, solo sinteplast</t>
  </si>
  <si>
    <t>LICARI</t>
  </si>
  <si>
    <t>Nylon: 200MCR?? 
Sikafill no, mapei fibrado</t>
  </si>
  <si>
    <t>* Flete para el material: aprox 850mil</t>
  </si>
  <si>
    <t>Rubro:</t>
  </si>
  <si>
    <t>Córdoba, 16 DE MARZO</t>
  </si>
  <si>
    <t>Rubro: MADERA</t>
  </si>
  <si>
    <t>FENOLICOS DE 18MM</t>
  </si>
  <si>
    <t>GUARAPA</t>
  </si>
  <si>
    <t>FLETE 18MIL</t>
  </si>
  <si>
    <t>NO TRABAJA MADERA (PASO EL CONTACTO DE LA MADERERA)</t>
  </si>
  <si>
    <t>MADERERA BELL VILLE 1</t>
  </si>
  <si>
    <t>MADERA BELL VILLE NICO 2</t>
  </si>
  <si>
    <t>Córdoba, 20 MARZO</t>
  </si>
  <si>
    <t>Ramal 110x110(3)</t>
  </si>
  <si>
    <t>Ramal 110x63.(3)</t>
  </si>
  <si>
    <t>Curvas 110x110 MH.(5)</t>
  </si>
  <si>
    <t>Curvas 110x110 HH.(4)</t>
  </si>
  <si>
    <t>Curvas 63MH.(4(</t>
  </si>
  <si>
    <t>Curvas 63HH.(2)</t>
  </si>
  <si>
    <t>Curvas 40 HH (4(</t>
  </si>
  <si>
    <t>Curvas 40MH.(6)</t>
  </si>
  <si>
    <t>Codos 110x110 HH.(1)</t>
  </si>
  <si>
    <t>Codos50HH.(2)</t>
  </si>
  <si>
    <t>Codos 40 HH (6)</t>
  </si>
  <si>
    <t>1 pileta de patio de 5 bocas o de 7.</t>
  </si>
  <si>
    <t xml:space="preserve">1 boca de acceso </t>
  </si>
  <si>
    <t>1 válvula de ante retorno 110x110</t>
  </si>
  <si>
    <t>tapas 110 (5) H</t>
  </si>
  <si>
    <t>Tapas de 40 (4)H</t>
  </si>
  <si>
    <t>Tapa de 50 (1)H</t>
  </si>
  <si>
    <t>Sombrero de 63 (1)</t>
  </si>
  <si>
    <t>Caños 110mm.(10)</t>
  </si>
  <si>
    <t>Caños de 63mm.(4)</t>
  </si>
  <si>
    <t>Cańos de 50 mm.(2 metros ) (1 )</t>
  </si>
  <si>
    <t>Cańos de 40.(4)</t>
  </si>
  <si>
    <t>Lubricantes (4)</t>
  </si>
  <si>
    <t>AGUALUC IPS</t>
  </si>
  <si>
    <t>AGUALUC DURATP</t>
  </si>
  <si>
    <t>ips</t>
  </si>
  <si>
    <t>GROPO</t>
  </si>
  <si>
    <t>SANIPLAT</t>
  </si>
  <si>
    <t>Córdoba,  27 de mayo</t>
  </si>
  <si>
    <t>Rubro: IMPERMEABILIZACION</t>
  </si>
  <si>
    <t>Sika inertol x 10kg</t>
  </si>
  <si>
    <t>GARIN</t>
  </si>
  <si>
    <t>REX</t>
  </si>
  <si>
    <t>INCLUYE ENTREGA EN BELL VILLE LOS DIAS LUNES</t>
  </si>
  <si>
    <t>TECNOCOLON</t>
  </si>
  <si>
    <t>SIKA INERTOL</t>
  </si>
  <si>
    <t>CHAMTAC</t>
  </si>
  <si>
    <t>CONSTRUCCIONES SILICIO</t>
  </si>
  <si>
    <t>PINEDO</t>
  </si>
  <si>
    <t>KNAUF</t>
  </si>
  <si>
    <t>gl</t>
  </si>
  <si>
    <t>ARQ. INTEGRAL</t>
  </si>
  <si>
    <t>Celulosa Proyectada 4cm</t>
  </si>
  <si>
    <t>ANTICIPO 30% - ECHEQ AL DIA - FACT C</t>
  </si>
  <si>
    <t>ANTICIPO 50%</t>
  </si>
  <si>
    <t>ESPERANDO PRESU FORMAL</t>
  </si>
  <si>
    <t>EMAT</t>
  </si>
  <si>
    <t>ANTICIPO 50 % - ECHEQ A 30</t>
  </si>
  <si>
    <t>ESPERANDO</t>
  </si>
  <si>
    <t>Córdoba, 2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</si>
</sst>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"/>
    <numFmt numFmtId="165" formatCode="[$$-2C0A]\ #,##0.00"/>
    <numFmt numFmtId="166" formatCode="_(&quot;$&quot;* #,##0.00_);_(&quot;$&quot;* \(#,##0.00\);_(&quot;$&quot;* &quot;-&quot;??_);_(@_)"/>
    <numFmt numFmtId="167" formatCode="_-&quot;$&quot;\ * #,##0.00_-;\-&quot;$&quot;\ * #,##0.00_-;_-&quot;$&quot;\ * &quot;-&quot;??_-;_-@"/>
  </numFmts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3"/>
      <color rgb="FF000000"/>
      <name val="Calibri"/>
      <family val="2"/>
    </font>
    <font>
      <sz val="13"/>
      <color rgb="FF000000"/>
      <name val="Arial"/>
      <family val="2"/>
    </font>
    <font>
      <sz val="13"/>
      <color theme="1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</font>
    <font>
      <sz val="13"/>
      <name val="Calibri"/>
      <family val="2"/>
    </font>
    <font>
      <b/>
      <sz val="13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12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5" fontId="5" fillId="2" borderId="11" xfId="0" applyNumberFormat="1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 wrapText="1"/>
    </xf>
    <xf numFmtId="165" fontId="5" fillId="2" borderId="13" xfId="0" applyNumberFormat="1" applyFont="1" applyFill="1" applyBorder="1" applyAlignment="1">
      <alignment horizontal="center" vertical="center" wrapText="1"/>
    </xf>
    <xf numFmtId="165" fontId="5" fillId="2" borderId="14" xfId="0" applyNumberFormat="1" applyFont="1" applyFill="1" applyBorder="1" applyAlignment="1">
      <alignment horizontal="center" vertical="center" wrapText="1"/>
    </xf>
    <xf numFmtId="4" fontId="6" fillId="0" borderId="15" xfId="0" applyNumberFormat="1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166" fontId="8" fillId="0" borderId="17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166" fontId="8" fillId="3" borderId="17" xfId="0" applyNumberFormat="1" applyFont="1" applyFill="1" applyBorder="1" applyAlignment="1">
      <alignment horizontal="center" vertical="center"/>
    </xf>
    <xf numFmtId="166" fontId="8" fillId="3" borderId="1" xfId="0" applyNumberFormat="1" applyFont="1" applyFill="1" applyBorder="1" applyAlignment="1">
      <alignment horizontal="center" vertical="center"/>
    </xf>
    <xf numFmtId="166" fontId="9" fillId="3" borderId="18" xfId="0" applyNumberFormat="1" applyFont="1" applyFill="1" applyBorder="1" applyAlignment="1">
      <alignment horizontal="center" vertical="center"/>
    </xf>
    <xf numFmtId="166" fontId="9" fillId="2" borderId="17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 wrapText="1"/>
    </xf>
    <xf numFmtId="4" fontId="6" fillId="0" borderId="2" xfId="0" applyNumberFormat="1" applyFont="1" applyBorder="1" applyAlignment="1">
      <alignment horizontal="left" vertical="center" wrapText="1"/>
    </xf>
    <xf numFmtId="4" fontId="6" fillId="0" borderId="19" xfId="0" applyNumberFormat="1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166" fontId="7" fillId="0" borderId="11" xfId="0" applyNumberFormat="1" applyFont="1" applyBorder="1" applyAlignment="1">
      <alignment horizontal="center" vertical="center"/>
    </xf>
    <xf numFmtId="166" fontId="8" fillId="0" borderId="12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166" fontId="8" fillId="3" borderId="12" xfId="0" applyNumberFormat="1" applyFont="1" applyFill="1" applyBorder="1" applyAlignment="1">
      <alignment horizontal="center" vertical="center"/>
    </xf>
    <xf numFmtId="166" fontId="8" fillId="3" borderId="14" xfId="0" applyNumberFormat="1" applyFont="1" applyFill="1" applyBorder="1" applyAlignment="1">
      <alignment horizontal="center" vertical="center"/>
    </xf>
    <xf numFmtId="166" fontId="9" fillId="2" borderId="12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166" fontId="3" fillId="0" borderId="21" xfId="0" applyNumberFormat="1" applyFont="1" applyBorder="1" applyAlignment="1">
      <alignment horizontal="center" vertical="center"/>
    </xf>
    <xf numFmtId="166" fontId="3" fillId="0" borderId="22" xfId="0" applyNumberFormat="1" applyFont="1" applyBorder="1" applyAlignment="1">
      <alignment horizontal="center" vertical="center"/>
    </xf>
    <xf numFmtId="9" fontId="3" fillId="0" borderId="21" xfId="0" applyNumberFormat="1" applyFont="1" applyBorder="1" applyAlignment="1">
      <alignment horizontal="center" vertical="center"/>
    </xf>
    <xf numFmtId="166" fontId="3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10" fontId="3" fillId="0" borderId="26" xfId="0" applyNumberFormat="1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/>
    </xf>
    <xf numFmtId="166" fontId="3" fillId="0" borderId="2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166" fontId="1" fillId="0" borderId="18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17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left" vertical="center"/>
    </xf>
    <xf numFmtId="9" fontId="1" fillId="0" borderId="3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6" fontId="1" fillId="0" borderId="33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9" fontId="1" fillId="0" borderId="13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14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5" fontId="5" fillId="4" borderId="21" xfId="0" applyNumberFormat="1" applyFont="1" applyFill="1" applyBorder="1" applyAlignment="1">
      <alignment horizontal="center" vertical="center"/>
    </xf>
    <xf numFmtId="166" fontId="5" fillId="4" borderId="24" xfId="0" applyNumberFormat="1" applyFont="1" applyFill="1" applyBorder="1" applyAlignment="1">
      <alignment horizontal="left" vertical="center"/>
    </xf>
    <xf numFmtId="166" fontId="5" fillId="4" borderId="21" xfId="0" applyNumberFormat="1" applyFont="1" applyFill="1" applyBorder="1" applyAlignment="1">
      <alignment horizontal="left" vertical="center"/>
    </xf>
    <xf numFmtId="166" fontId="5" fillId="4" borderId="24" xfId="0" applyNumberFormat="1" applyFont="1" applyFill="1" applyBorder="1" applyAlignment="1">
      <alignment horizontal="center" vertical="center"/>
    </xf>
    <xf numFmtId="0" fontId="1" fillId="0" borderId="37" xfId="0" applyFont="1" applyBorder="1" applyAlignment="1">
      <alignment horizontal="left" vertical="center"/>
    </xf>
    <xf numFmtId="0" fontId="3" fillId="0" borderId="4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7" fontId="10" fillId="0" borderId="0" xfId="0" applyNumberFormat="1" applyFont="1"/>
    <xf numFmtId="166" fontId="3" fillId="0" borderId="0" xfId="0" applyNumberFormat="1" applyFont="1" applyAlignment="1">
      <alignment horizontal="left"/>
    </xf>
    <xf numFmtId="166" fontId="3" fillId="0" borderId="0" xfId="0" applyNumberFormat="1" applyFont="1"/>
    <xf numFmtId="0" fontId="11" fillId="0" borderId="0" xfId="0" applyFont="1" applyAlignment="1">
      <alignment horizontal="left" vertical="top"/>
    </xf>
    <xf numFmtId="4" fontId="6" fillId="5" borderId="1" xfId="0" applyNumberFormat="1" applyFont="1" applyFill="1" applyBorder="1" applyAlignment="1">
      <alignment horizontal="left" vertical="center" wrapText="1"/>
    </xf>
    <xf numFmtId="4" fontId="7" fillId="0" borderId="15" xfId="0" applyNumberFormat="1" applyFont="1" applyBorder="1" applyAlignment="1">
      <alignment horizontal="left" vertical="center" wrapText="1"/>
    </xf>
    <xf numFmtId="4" fontId="7" fillId="0" borderId="2" xfId="0" applyNumberFormat="1" applyFont="1" applyBorder="1" applyAlignment="1">
      <alignment horizontal="left" vertical="center" wrapText="1"/>
    </xf>
    <xf numFmtId="9" fontId="0" fillId="0" borderId="0" xfId="1" applyFont="1"/>
    <xf numFmtId="9" fontId="0" fillId="0" borderId="0" xfId="0" applyNumberFormat="1"/>
    <xf numFmtId="0" fontId="14" fillId="0" borderId="0" xfId="0" applyFont="1" applyAlignment="1">
      <alignment horizontal="left" vertical="top"/>
    </xf>
    <xf numFmtId="164" fontId="14" fillId="0" borderId="0" xfId="0" applyNumberFormat="1" applyFont="1" applyAlignment="1">
      <alignment horizontal="left" vertical="top"/>
    </xf>
    <xf numFmtId="165" fontId="14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/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vertical="top" wrapText="1"/>
    </xf>
    <xf numFmtId="164" fontId="16" fillId="0" borderId="0" xfId="0" applyNumberFormat="1" applyFont="1" applyAlignment="1">
      <alignment vertical="top" wrapText="1"/>
    </xf>
    <xf numFmtId="165" fontId="20" fillId="2" borderId="11" xfId="0" applyNumberFormat="1" applyFont="1" applyFill="1" applyBorder="1" applyAlignment="1">
      <alignment horizontal="center" vertical="center" wrapText="1"/>
    </xf>
    <xf numFmtId="165" fontId="20" fillId="2" borderId="12" xfId="0" applyNumberFormat="1" applyFont="1" applyFill="1" applyBorder="1" applyAlignment="1">
      <alignment horizontal="center" vertical="center" wrapText="1"/>
    </xf>
    <xf numFmtId="165" fontId="20" fillId="2" borderId="13" xfId="0" applyNumberFormat="1" applyFont="1" applyFill="1" applyBorder="1" applyAlignment="1">
      <alignment horizontal="center" vertical="center" wrapText="1"/>
    </xf>
    <xf numFmtId="165" fontId="20" fillId="2" borderId="14" xfId="0" applyNumberFormat="1" applyFont="1" applyFill="1" applyBorder="1" applyAlignment="1">
      <alignment horizontal="center" vertical="center" wrapText="1"/>
    </xf>
    <xf numFmtId="4" fontId="18" fillId="0" borderId="15" xfId="0" applyNumberFormat="1" applyFont="1" applyBorder="1" applyAlignment="1">
      <alignment horizontal="left" vertical="center" wrapText="1"/>
    </xf>
    <xf numFmtId="0" fontId="16" fillId="0" borderId="16" xfId="0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166" fontId="14" fillId="0" borderId="17" xfId="0" applyNumberFormat="1" applyFont="1" applyBorder="1" applyAlignment="1">
      <alignment horizontal="center" vertical="center"/>
    </xf>
    <xf numFmtId="166" fontId="16" fillId="0" borderId="18" xfId="0" applyNumberFormat="1" applyFont="1" applyBorder="1" applyAlignment="1">
      <alignment horizontal="center" vertical="center"/>
    </xf>
    <xf numFmtId="166" fontId="14" fillId="3" borderId="17" xfId="0" applyNumberFormat="1" applyFont="1" applyFill="1" applyBorder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166" fontId="20" fillId="3" borderId="18" xfId="0" applyNumberFormat="1" applyFont="1" applyFill="1" applyBorder="1" applyAlignment="1">
      <alignment horizontal="center" vertical="center"/>
    </xf>
    <xf numFmtId="166" fontId="20" fillId="2" borderId="17" xfId="0" applyNumberFormat="1" applyFont="1" applyFill="1" applyBorder="1" applyAlignment="1">
      <alignment horizontal="center" vertical="center"/>
    </xf>
    <xf numFmtId="4" fontId="18" fillId="0" borderId="2" xfId="0" applyNumberFormat="1" applyFont="1" applyBorder="1" applyAlignment="1">
      <alignment horizontal="left" vertical="center" wrapText="1"/>
    </xf>
    <xf numFmtId="4" fontId="18" fillId="0" borderId="19" xfId="0" applyNumberFormat="1" applyFont="1" applyBorder="1" applyAlignment="1">
      <alignment horizontal="left" vertical="center" wrapText="1"/>
    </xf>
    <xf numFmtId="0" fontId="16" fillId="0" borderId="20" xfId="0" applyFon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6" fillId="0" borderId="13" xfId="0" applyNumberFormat="1" applyFont="1" applyBorder="1" applyAlignment="1">
      <alignment horizontal="center" vertical="center"/>
    </xf>
    <xf numFmtId="166" fontId="14" fillId="3" borderId="12" xfId="0" applyNumberFormat="1" applyFont="1" applyFill="1" applyBorder="1" applyAlignment="1">
      <alignment horizontal="center" vertical="center"/>
    </xf>
    <xf numFmtId="166" fontId="14" fillId="3" borderId="14" xfId="0" applyNumberFormat="1" applyFont="1" applyFill="1" applyBorder="1" applyAlignment="1">
      <alignment horizontal="center" vertical="center"/>
    </xf>
    <xf numFmtId="166" fontId="20" fillId="2" borderId="12" xfId="0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166" fontId="16" fillId="0" borderId="21" xfId="0" applyNumberFormat="1" applyFont="1" applyBorder="1" applyAlignment="1">
      <alignment horizontal="center" vertical="center"/>
    </xf>
    <xf numFmtId="166" fontId="16" fillId="0" borderId="22" xfId="0" applyNumberFormat="1" applyFont="1" applyBorder="1" applyAlignment="1">
      <alignment horizontal="center" vertical="center"/>
    </xf>
    <xf numFmtId="9" fontId="16" fillId="0" borderId="21" xfId="0" applyNumberFormat="1" applyFont="1" applyBorder="1" applyAlignment="1">
      <alignment horizontal="center" vertical="center"/>
    </xf>
    <xf numFmtId="166" fontId="16" fillId="0" borderId="24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vertical="center"/>
    </xf>
    <xf numFmtId="0" fontId="16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10" fontId="16" fillId="0" borderId="26" xfId="0" applyNumberFormat="1" applyFont="1" applyBorder="1" applyAlignment="1">
      <alignment horizontal="center" vertical="center"/>
    </xf>
    <xf numFmtId="166" fontId="16" fillId="0" borderId="27" xfId="0" applyNumberFormat="1" applyFont="1" applyBorder="1" applyAlignment="1">
      <alignment horizontal="center" vertical="center"/>
    </xf>
    <xf numFmtId="166" fontId="16" fillId="0" borderId="28" xfId="0" applyNumberFormat="1" applyFont="1" applyBorder="1" applyAlignment="1">
      <alignment horizontal="center" vertical="center"/>
    </xf>
    <xf numFmtId="166" fontId="16" fillId="0" borderId="29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166" fontId="14" fillId="0" borderId="18" xfId="0" applyNumberFormat="1" applyFont="1" applyBorder="1" applyAlignment="1">
      <alignment horizontal="center" vertical="center"/>
    </xf>
    <xf numFmtId="166" fontId="14" fillId="0" borderId="1" xfId="0" applyNumberFormat="1" applyFont="1" applyBorder="1" applyAlignment="1">
      <alignment horizontal="center" vertical="center"/>
    </xf>
    <xf numFmtId="166" fontId="14" fillId="0" borderId="3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left" vertical="center"/>
    </xf>
    <xf numFmtId="9" fontId="14" fillId="0" borderId="32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14" fillId="0" borderId="32" xfId="0" applyNumberFormat="1" applyFont="1" applyBorder="1" applyAlignment="1">
      <alignment horizontal="center" vertical="center"/>
    </xf>
    <xf numFmtId="166" fontId="14" fillId="0" borderId="34" xfId="0" applyNumberFormat="1" applyFont="1" applyBorder="1" applyAlignment="1">
      <alignment horizontal="center" vertical="center"/>
    </xf>
    <xf numFmtId="166" fontId="14" fillId="0" borderId="33" xfId="0" applyNumberFormat="1" applyFont="1" applyBorder="1" applyAlignment="1">
      <alignment horizontal="center" vertical="center"/>
    </xf>
    <xf numFmtId="166" fontId="14" fillId="0" borderId="35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9" fontId="14" fillId="0" borderId="13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6" fontId="14" fillId="0" borderId="13" xfId="0" applyNumberFormat="1" applyFont="1" applyBorder="1" applyAlignment="1">
      <alignment horizontal="center" vertical="center"/>
    </xf>
    <xf numFmtId="166" fontId="14" fillId="0" borderId="14" xfId="0" applyNumberFormat="1" applyFont="1" applyBorder="1" applyAlignment="1">
      <alignment horizontal="center" vertical="center"/>
    </xf>
    <xf numFmtId="166" fontId="14" fillId="0" borderId="11" xfId="0" applyNumberFormat="1" applyFont="1" applyBorder="1" applyAlignment="1">
      <alignment horizontal="center" vertical="center"/>
    </xf>
    <xf numFmtId="0" fontId="20" fillId="4" borderId="21" xfId="0" applyFont="1" applyFill="1" applyBorder="1" applyAlignment="1">
      <alignment horizontal="left" vertical="center"/>
    </xf>
    <xf numFmtId="0" fontId="20" fillId="4" borderId="36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165" fontId="20" fillId="4" borderId="21" xfId="0" applyNumberFormat="1" applyFont="1" applyFill="1" applyBorder="1" applyAlignment="1">
      <alignment horizontal="center" vertical="center"/>
    </xf>
    <xf numFmtId="166" fontId="20" fillId="4" borderId="24" xfId="0" applyNumberFormat="1" applyFont="1" applyFill="1" applyBorder="1" applyAlignment="1">
      <alignment horizontal="left" vertical="center"/>
    </xf>
    <xf numFmtId="166" fontId="20" fillId="4" borderId="21" xfId="0" applyNumberFormat="1" applyFont="1" applyFill="1" applyBorder="1" applyAlignment="1">
      <alignment horizontal="left" vertical="center"/>
    </xf>
    <xf numFmtId="166" fontId="20" fillId="4" borderId="24" xfId="0" applyNumberFormat="1" applyFont="1" applyFill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0" fillId="0" borderId="0" xfId="0"/>
    <xf numFmtId="0" fontId="17" fillId="0" borderId="0" xfId="0" applyFont="1"/>
    <xf numFmtId="0" fontId="14" fillId="0" borderId="15" xfId="0" applyFont="1" applyBorder="1" applyAlignment="1">
      <alignment horizontal="center" vertical="center"/>
    </xf>
    <xf numFmtId="0" fontId="19" fillId="0" borderId="30" xfId="0" applyFont="1" applyBorder="1"/>
    <xf numFmtId="0" fontId="16" fillId="0" borderId="1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20" fillId="2" borderId="4" xfId="0" applyFont="1" applyFill="1" applyBorder="1" applyAlignment="1">
      <alignment horizontal="center" vertical="center" wrapText="1"/>
    </xf>
    <xf numFmtId="0" fontId="19" fillId="0" borderId="9" xfId="0" applyFont="1" applyBorder="1"/>
    <xf numFmtId="0" fontId="20" fillId="2" borderId="5" xfId="0" applyFont="1" applyFill="1" applyBorder="1" applyAlignment="1">
      <alignment horizontal="center" vertical="center" wrapText="1"/>
    </xf>
    <xf numFmtId="0" fontId="19" fillId="0" borderId="10" xfId="0" applyFont="1" applyBorder="1"/>
    <xf numFmtId="164" fontId="20" fillId="2" borderId="5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0" fontId="19" fillId="0" borderId="7" xfId="0" applyFont="1" applyBorder="1"/>
    <xf numFmtId="165" fontId="20" fillId="2" borderId="8" xfId="0" applyNumberFormat="1" applyFont="1" applyFill="1" applyBorder="1" applyAlignment="1">
      <alignment horizontal="center" vertical="center" wrapText="1"/>
    </xf>
    <xf numFmtId="0" fontId="19" fillId="0" borderId="6" xfId="0" applyFont="1" applyBorder="1"/>
    <xf numFmtId="0" fontId="16" fillId="0" borderId="0" xfId="0" applyFont="1" applyAlignment="1">
      <alignment horizontal="center"/>
    </xf>
    <xf numFmtId="0" fontId="17" fillId="0" borderId="0" xfId="0" applyFont="1"/>
    <xf numFmtId="9" fontId="16" fillId="0" borderId="22" xfId="0" applyNumberFormat="1" applyFont="1" applyBorder="1" applyAlignment="1">
      <alignment horizontal="center" vertical="center"/>
    </xf>
    <xf numFmtId="0" fontId="19" fillId="0" borderId="23" xfId="0" applyFont="1" applyBorder="1"/>
    <xf numFmtId="9" fontId="16" fillId="0" borderId="8" xfId="0" applyNumberFormat="1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 wrapText="1"/>
    </xf>
    <xf numFmtId="0" fontId="19" fillId="0" borderId="39" xfId="0" applyFont="1" applyBorder="1"/>
    <xf numFmtId="0" fontId="14" fillId="0" borderId="40" xfId="0" applyFont="1" applyBorder="1" applyAlignment="1">
      <alignment horizontal="center" vertical="top"/>
    </xf>
    <xf numFmtId="0" fontId="3" fillId="0" borderId="41" xfId="0" applyFont="1" applyBorder="1" applyAlignment="1">
      <alignment horizontal="center" vertical="center" wrapText="1"/>
    </xf>
    <xf numFmtId="0" fontId="0" fillId="0" borderId="0" xfId="0"/>
    <xf numFmtId="9" fontId="14" fillId="0" borderId="15" xfId="0" applyNumberFormat="1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" fontId="14" fillId="0" borderId="38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4" fillId="0" borderId="3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4" fillId="0" borderId="10" xfId="0" applyFont="1" applyBorder="1"/>
    <xf numFmtId="164" fontId="5" fillId="2" borderId="5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4" fillId="0" borderId="7" xfId="0" applyFont="1" applyBorder="1"/>
    <xf numFmtId="165" fontId="5" fillId="2" borderId="8" xfId="0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0" fontId="3" fillId="0" borderId="0" xfId="0" applyFont="1" applyAlignment="1">
      <alignment horizontal="center"/>
    </xf>
    <xf numFmtId="9" fontId="3" fillId="0" borderId="22" xfId="0" applyNumberFormat="1" applyFont="1" applyBorder="1" applyAlignment="1">
      <alignment horizontal="center" vertical="center"/>
    </xf>
    <xf numFmtId="0" fontId="4" fillId="0" borderId="23" xfId="0" applyFont="1" applyBorder="1"/>
    <xf numFmtId="9" fontId="3" fillId="0" borderId="8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4" fillId="0" borderId="39" xfId="0" applyFont="1" applyBorder="1"/>
    <xf numFmtId="0" fontId="1" fillId="0" borderId="40" xfId="0" applyFont="1" applyBorder="1" applyAlignment="1">
      <alignment horizontal="center" vertical="top"/>
    </xf>
    <xf numFmtId="9" fontId="1" fillId="0" borderId="15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" fontId="1" fillId="0" borderId="38" xfId="0" applyNumberFormat="1" applyFont="1" applyBorder="1" applyAlignment="1">
      <alignment horizontal="center" vertical="center" wrapText="1"/>
    </xf>
    <xf numFmtId="16" fontId="5" fillId="0" borderId="38" xfId="0" applyNumberFormat="1" applyFont="1" applyBorder="1" applyAlignment="1">
      <alignment horizontal="center" vertical="center" wrapText="1"/>
    </xf>
    <xf numFmtId="0" fontId="12" fillId="0" borderId="39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7DA7-6124-44C8-8A31-E530B9A8DAA7}">
  <sheetPr>
    <pageSetUpPr fitToPage="1"/>
  </sheetPr>
  <dimension ref="A1:S1000"/>
  <sheetViews>
    <sheetView topLeftCell="A8" zoomScale="84" zoomScaleNormal="70" workbookViewId="0">
      <pane xSplit="3" topLeftCell="D1" activePane="topRight" state="frozen"/>
      <selection pane="topRight" activeCell="E57" sqref="E57"/>
    </sheetView>
  </sheetViews>
  <sheetFormatPr baseColWidth="10" defaultColWidth="14.42578125" defaultRowHeight="15" x14ac:dyDescent="0.25"/>
  <cols>
    <col min="1" max="1" width="40.28515625" customWidth="1"/>
    <col min="2" max="2" width="6.85546875" customWidth="1"/>
    <col min="3" max="3" width="9" customWidth="1"/>
    <col min="4" max="4" width="14.7109375" customWidth="1"/>
    <col min="5" max="5" width="16" bestFit="1" customWidth="1"/>
    <col min="6" max="6" width="14.7109375" customWidth="1"/>
    <col min="7" max="7" width="16" bestFit="1" customWidth="1"/>
    <col min="8" max="8" width="14.7109375" customWidth="1"/>
    <col min="9" max="9" width="16.28515625" bestFit="1" customWidth="1"/>
    <col min="10" max="10" width="14.7109375" customWidth="1"/>
    <col min="11" max="11" width="16.42578125" bestFit="1" customWidth="1"/>
    <col min="12" max="12" width="14.7109375" customWidth="1"/>
    <col min="13" max="13" width="16.42578125" bestFit="1" customWidth="1"/>
    <col min="14" max="14" width="14.7109375" customWidth="1"/>
    <col min="15" max="15" width="16" bestFit="1" customWidth="1"/>
    <col min="16" max="16" width="14.7109375" hidden="1" customWidth="1"/>
    <col min="17" max="17" width="15.28515625" hidden="1" customWidth="1"/>
    <col min="18" max="18" width="14.7109375" customWidth="1"/>
    <col min="19" max="19" width="16" bestFit="1" customWidth="1"/>
    <col min="20" max="26" width="10.7109375" customWidth="1"/>
  </cols>
  <sheetData>
    <row r="1" spans="1:19" ht="14.25" customHeight="1" x14ac:dyDescent="0.25">
      <c r="A1" s="85"/>
      <c r="B1" s="85"/>
      <c r="C1" s="86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</row>
    <row r="2" spans="1:19" ht="14.25" customHeight="1" x14ac:dyDescent="0.25">
      <c r="A2" s="89" t="s">
        <v>88</v>
      </c>
      <c r="B2" s="85"/>
      <c r="C2" s="86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</row>
    <row r="3" spans="1:19" ht="14.25" customHeight="1" x14ac:dyDescent="0.3">
      <c r="A3" s="89"/>
      <c r="B3" s="85"/>
      <c r="C3" s="86"/>
      <c r="D3" s="87"/>
      <c r="E3" s="87"/>
      <c r="F3" s="87"/>
      <c r="G3" s="87"/>
      <c r="H3" s="90"/>
      <c r="I3" s="90"/>
      <c r="J3" s="90"/>
      <c r="K3" s="87"/>
      <c r="L3" s="90"/>
      <c r="M3" s="87"/>
      <c r="N3" s="87"/>
      <c r="O3" s="87"/>
      <c r="P3" s="87"/>
      <c r="Q3" s="87"/>
      <c r="R3" s="87"/>
      <c r="S3" s="88"/>
    </row>
    <row r="4" spans="1:19" ht="17.25" x14ac:dyDescent="0.3">
      <c r="A4" s="91" t="s">
        <v>23</v>
      </c>
      <c r="B4" s="92"/>
      <c r="C4" s="93"/>
      <c r="D4" s="92"/>
      <c r="E4" s="92"/>
      <c r="F4" s="92"/>
      <c r="G4" s="92"/>
      <c r="H4" s="90"/>
      <c r="I4" s="90"/>
      <c r="J4" s="90"/>
      <c r="K4" s="92"/>
      <c r="L4" s="90"/>
      <c r="M4" s="92"/>
      <c r="N4" s="92"/>
      <c r="O4" s="92"/>
      <c r="P4" s="92"/>
      <c r="Q4" s="92"/>
      <c r="R4" s="92"/>
      <c r="S4" s="88"/>
    </row>
    <row r="5" spans="1:19" ht="14.25" customHeight="1" x14ac:dyDescent="0.3">
      <c r="A5" s="89" t="s">
        <v>21</v>
      </c>
      <c r="B5" s="85"/>
      <c r="C5" s="86"/>
      <c r="D5" s="87"/>
      <c r="E5" s="87"/>
      <c r="F5" s="87"/>
      <c r="G5" s="87"/>
      <c r="H5" s="90"/>
      <c r="I5" s="90"/>
      <c r="J5" s="90"/>
      <c r="K5" s="87"/>
      <c r="L5" s="90"/>
      <c r="M5" s="87"/>
      <c r="N5" s="87"/>
      <c r="O5" s="87"/>
      <c r="P5" s="87"/>
      <c r="Q5" s="87"/>
      <c r="R5" s="87"/>
      <c r="S5" s="88"/>
    </row>
    <row r="6" spans="1:19" ht="17.25" x14ac:dyDescent="0.3">
      <c r="A6" s="91" t="s">
        <v>89</v>
      </c>
      <c r="B6" s="85"/>
      <c r="C6" s="86"/>
      <c r="D6" s="87"/>
      <c r="E6" s="87"/>
      <c r="F6" s="87"/>
      <c r="G6" s="87"/>
      <c r="H6" s="90"/>
      <c r="I6" s="90"/>
      <c r="J6" s="90"/>
      <c r="K6" s="87"/>
      <c r="L6" s="90"/>
      <c r="M6" s="87"/>
      <c r="N6" s="87"/>
      <c r="O6" s="87"/>
      <c r="P6" s="87"/>
      <c r="Q6" s="87"/>
      <c r="R6" s="87"/>
      <c r="S6" s="88"/>
    </row>
    <row r="7" spans="1:19" ht="14.25" customHeight="1" x14ac:dyDescent="0.25">
      <c r="A7" s="85"/>
      <c r="B7" s="85"/>
      <c r="C7" s="86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8"/>
    </row>
    <row r="8" spans="1:19" ht="14.25" customHeight="1" x14ac:dyDescent="0.3">
      <c r="A8" s="161" t="s">
        <v>0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3"/>
    </row>
    <row r="9" spans="1:19" ht="14.25" customHeight="1" thickBot="1" x14ac:dyDescent="0.3">
      <c r="A9" s="85"/>
      <c r="B9" s="85"/>
      <c r="C9" s="86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8"/>
    </row>
    <row r="10" spans="1:19" ht="17.25" x14ac:dyDescent="0.3">
      <c r="A10" s="164" t="s">
        <v>1</v>
      </c>
      <c r="B10" s="166" t="s">
        <v>2</v>
      </c>
      <c r="C10" s="168" t="s">
        <v>3</v>
      </c>
      <c r="D10" s="169" t="s">
        <v>91</v>
      </c>
      <c r="E10" s="170"/>
      <c r="F10" s="171" t="s">
        <v>20</v>
      </c>
      <c r="G10" s="170"/>
      <c r="H10" s="169" t="s">
        <v>25</v>
      </c>
      <c r="I10" s="172"/>
      <c r="J10" s="171" t="s">
        <v>92</v>
      </c>
      <c r="K10" s="170"/>
      <c r="L10" s="171" t="s">
        <v>94</v>
      </c>
      <c r="M10" s="170"/>
      <c r="N10" s="171" t="s">
        <v>96</v>
      </c>
      <c r="O10" s="170"/>
      <c r="P10" s="171"/>
      <c r="Q10" s="170"/>
      <c r="R10" s="171" t="s">
        <v>4</v>
      </c>
      <c r="S10" s="170"/>
    </row>
    <row r="11" spans="1:19" ht="18" thickBot="1" x14ac:dyDescent="0.3">
      <c r="A11" s="165"/>
      <c r="B11" s="167"/>
      <c r="C11" s="167"/>
      <c r="D11" s="94" t="s">
        <v>5</v>
      </c>
      <c r="E11" s="95" t="s">
        <v>6</v>
      </c>
      <c r="F11" s="96" t="s">
        <v>5</v>
      </c>
      <c r="G11" s="95" t="s">
        <v>6</v>
      </c>
      <c r="H11" s="94" t="s">
        <v>5</v>
      </c>
      <c r="I11" s="97" t="s">
        <v>6</v>
      </c>
      <c r="J11" s="96" t="s">
        <v>5</v>
      </c>
      <c r="K11" s="95" t="s">
        <v>6</v>
      </c>
      <c r="L11" s="96" t="s">
        <v>5</v>
      </c>
      <c r="M11" s="95" t="s">
        <v>6</v>
      </c>
      <c r="N11" s="96" t="s">
        <v>5</v>
      </c>
      <c r="O11" s="95" t="s">
        <v>6</v>
      </c>
      <c r="P11" s="96" t="s">
        <v>5</v>
      </c>
      <c r="Q11" s="95" t="s">
        <v>6</v>
      </c>
      <c r="R11" s="96" t="s">
        <v>5</v>
      </c>
      <c r="S11" s="95" t="s">
        <v>6</v>
      </c>
    </row>
    <row r="12" spans="1:19" ht="17.25" x14ac:dyDescent="0.25">
      <c r="A12" s="98" t="s">
        <v>90</v>
      </c>
      <c r="B12" s="99" t="s">
        <v>19</v>
      </c>
      <c r="C12" s="100">
        <v>150</v>
      </c>
      <c r="D12" s="101">
        <v>25134.13</v>
      </c>
      <c r="E12" s="102">
        <f t="shared" ref="E12:E47" si="0">C12*D12</f>
        <v>3770119.5</v>
      </c>
      <c r="F12" s="101">
        <v>25134.13</v>
      </c>
      <c r="G12" s="104">
        <f t="shared" ref="G12:G47" si="1">C12*F12</f>
        <v>3770119.5</v>
      </c>
      <c r="H12" s="101">
        <f>33248.48/1.21</f>
        <v>27478.082644628103</v>
      </c>
      <c r="I12" s="105">
        <f t="shared" ref="I12:I47" si="2">C12*H12</f>
        <v>4121712.3966942155</v>
      </c>
      <c r="J12" s="103">
        <v>31838</v>
      </c>
      <c r="K12" s="104">
        <f t="shared" ref="K12:K48" si="3">C12*J12</f>
        <v>4775700</v>
      </c>
      <c r="L12" s="103">
        <v>32231.41</v>
      </c>
      <c r="M12" s="104">
        <f t="shared" ref="M12:M48" si="4">C12*L12</f>
        <v>4834711.5</v>
      </c>
      <c r="N12" s="103">
        <v>28500</v>
      </c>
      <c r="O12" s="104">
        <f t="shared" ref="O12:O48" si="5">C12*N12</f>
        <v>4275000</v>
      </c>
      <c r="P12" s="103"/>
      <c r="Q12" s="104">
        <f t="shared" ref="Q12:Q48" si="6">C12*P12</f>
        <v>0</v>
      </c>
      <c r="R12" s="106">
        <f t="shared" ref="R12:R48" si="7">MIN(D12,F12,H12,J12,N12,L12,P12)</f>
        <v>25134.13</v>
      </c>
      <c r="S12" s="107">
        <f t="shared" ref="S12:S48" si="8">R12*C12</f>
        <v>3770119.5</v>
      </c>
    </row>
    <row r="13" spans="1:19" ht="17.25" x14ac:dyDescent="0.25">
      <c r="A13" s="98"/>
      <c r="B13" s="99"/>
      <c r="C13" s="100"/>
      <c r="D13" s="101"/>
      <c r="E13" s="102">
        <f t="shared" si="0"/>
        <v>0</v>
      </c>
      <c r="F13" s="103"/>
      <c r="G13" s="104">
        <f t="shared" si="1"/>
        <v>0</v>
      </c>
      <c r="H13" s="103"/>
      <c r="I13" s="105">
        <f t="shared" si="2"/>
        <v>0</v>
      </c>
      <c r="J13" s="103"/>
      <c r="K13" s="104">
        <f t="shared" si="3"/>
        <v>0</v>
      </c>
      <c r="L13" s="103"/>
      <c r="M13" s="104">
        <f t="shared" si="4"/>
        <v>0</v>
      </c>
      <c r="N13" s="103"/>
      <c r="O13" s="104">
        <f t="shared" si="5"/>
        <v>0</v>
      </c>
      <c r="P13" s="103"/>
      <c r="Q13" s="104">
        <f t="shared" si="6"/>
        <v>0</v>
      </c>
      <c r="R13" s="106">
        <f t="shared" si="7"/>
        <v>0</v>
      </c>
      <c r="S13" s="107">
        <f t="shared" si="8"/>
        <v>0</v>
      </c>
    </row>
    <row r="14" spans="1:19" ht="17.25" x14ac:dyDescent="0.25">
      <c r="A14" s="98"/>
      <c r="B14" s="99"/>
      <c r="C14" s="100"/>
      <c r="D14" s="101"/>
      <c r="E14" s="102">
        <f t="shared" si="0"/>
        <v>0</v>
      </c>
      <c r="F14" s="103"/>
      <c r="G14" s="104">
        <f t="shared" si="1"/>
        <v>0</v>
      </c>
      <c r="H14" s="103"/>
      <c r="I14" s="105">
        <f t="shared" si="2"/>
        <v>0</v>
      </c>
      <c r="J14" s="103"/>
      <c r="K14" s="104">
        <f t="shared" si="3"/>
        <v>0</v>
      </c>
      <c r="L14" s="103"/>
      <c r="M14" s="104">
        <f t="shared" si="4"/>
        <v>0</v>
      </c>
      <c r="N14" s="103"/>
      <c r="O14" s="104">
        <f t="shared" si="5"/>
        <v>0</v>
      </c>
      <c r="P14" s="103"/>
      <c r="Q14" s="104">
        <f t="shared" si="6"/>
        <v>0</v>
      </c>
      <c r="R14" s="106">
        <f t="shared" si="7"/>
        <v>0</v>
      </c>
      <c r="S14" s="107">
        <f t="shared" si="8"/>
        <v>0</v>
      </c>
    </row>
    <row r="15" spans="1:19" ht="17.25" hidden="1" x14ac:dyDescent="0.25">
      <c r="A15" s="98"/>
      <c r="B15" s="99"/>
      <c r="C15" s="100"/>
      <c r="D15" s="101"/>
      <c r="E15" s="102">
        <f t="shared" si="0"/>
        <v>0</v>
      </c>
      <c r="F15" s="103"/>
      <c r="G15" s="104">
        <f t="shared" si="1"/>
        <v>0</v>
      </c>
      <c r="H15" s="103"/>
      <c r="I15" s="105">
        <f t="shared" si="2"/>
        <v>0</v>
      </c>
      <c r="J15" s="103"/>
      <c r="K15" s="104">
        <f t="shared" si="3"/>
        <v>0</v>
      </c>
      <c r="L15" s="103"/>
      <c r="M15" s="104">
        <f t="shared" si="4"/>
        <v>0</v>
      </c>
      <c r="N15" s="103"/>
      <c r="O15" s="104">
        <f t="shared" si="5"/>
        <v>0</v>
      </c>
      <c r="P15" s="103"/>
      <c r="Q15" s="104">
        <f t="shared" si="6"/>
        <v>0</v>
      </c>
      <c r="R15" s="106">
        <f t="shared" si="7"/>
        <v>0</v>
      </c>
      <c r="S15" s="107">
        <f t="shared" si="8"/>
        <v>0</v>
      </c>
    </row>
    <row r="16" spans="1:19" ht="17.25" hidden="1" x14ac:dyDescent="0.25">
      <c r="A16" s="98"/>
      <c r="B16" s="99"/>
      <c r="C16" s="100"/>
      <c r="D16" s="101"/>
      <c r="E16" s="102">
        <f t="shared" si="0"/>
        <v>0</v>
      </c>
      <c r="F16" s="103"/>
      <c r="G16" s="104">
        <f t="shared" si="1"/>
        <v>0</v>
      </c>
      <c r="H16" s="103"/>
      <c r="I16" s="105">
        <f t="shared" si="2"/>
        <v>0</v>
      </c>
      <c r="J16" s="103"/>
      <c r="K16" s="104">
        <f t="shared" si="3"/>
        <v>0</v>
      </c>
      <c r="L16" s="103"/>
      <c r="M16" s="104">
        <f t="shared" si="4"/>
        <v>0</v>
      </c>
      <c r="N16" s="103"/>
      <c r="O16" s="104">
        <f t="shared" si="5"/>
        <v>0</v>
      </c>
      <c r="P16" s="103"/>
      <c r="Q16" s="104">
        <f t="shared" si="6"/>
        <v>0</v>
      </c>
      <c r="R16" s="106">
        <f t="shared" si="7"/>
        <v>0</v>
      </c>
      <c r="S16" s="107">
        <f t="shared" si="8"/>
        <v>0</v>
      </c>
    </row>
    <row r="17" spans="1:19" ht="17.25" hidden="1" x14ac:dyDescent="0.25">
      <c r="A17" s="98"/>
      <c r="B17" s="99"/>
      <c r="C17" s="100"/>
      <c r="D17" s="101"/>
      <c r="E17" s="102">
        <f t="shared" si="0"/>
        <v>0</v>
      </c>
      <c r="F17" s="103"/>
      <c r="G17" s="104">
        <f t="shared" si="1"/>
        <v>0</v>
      </c>
      <c r="H17" s="103"/>
      <c r="I17" s="105">
        <f t="shared" si="2"/>
        <v>0</v>
      </c>
      <c r="J17" s="103"/>
      <c r="K17" s="104">
        <f t="shared" si="3"/>
        <v>0</v>
      </c>
      <c r="L17" s="103"/>
      <c r="M17" s="104">
        <f t="shared" si="4"/>
        <v>0</v>
      </c>
      <c r="N17" s="103"/>
      <c r="O17" s="104">
        <f t="shared" si="5"/>
        <v>0</v>
      </c>
      <c r="P17" s="103"/>
      <c r="Q17" s="104">
        <f t="shared" si="6"/>
        <v>0</v>
      </c>
      <c r="R17" s="106">
        <f t="shared" si="7"/>
        <v>0</v>
      </c>
      <c r="S17" s="107">
        <f t="shared" si="8"/>
        <v>0</v>
      </c>
    </row>
    <row r="18" spans="1:19" ht="17.25" hidden="1" x14ac:dyDescent="0.25">
      <c r="A18" s="98"/>
      <c r="B18" s="99"/>
      <c r="C18" s="100"/>
      <c r="D18" s="101"/>
      <c r="E18" s="102">
        <f t="shared" si="0"/>
        <v>0</v>
      </c>
      <c r="F18" s="103"/>
      <c r="G18" s="104">
        <f t="shared" si="1"/>
        <v>0</v>
      </c>
      <c r="H18" s="103"/>
      <c r="I18" s="105">
        <f t="shared" si="2"/>
        <v>0</v>
      </c>
      <c r="J18" s="103"/>
      <c r="K18" s="104">
        <f t="shared" si="3"/>
        <v>0</v>
      </c>
      <c r="L18" s="103"/>
      <c r="M18" s="104">
        <f t="shared" si="4"/>
        <v>0</v>
      </c>
      <c r="N18" s="103"/>
      <c r="O18" s="104">
        <f t="shared" si="5"/>
        <v>0</v>
      </c>
      <c r="P18" s="103"/>
      <c r="Q18" s="104">
        <f t="shared" si="6"/>
        <v>0</v>
      </c>
      <c r="R18" s="106">
        <f t="shared" si="7"/>
        <v>0</v>
      </c>
      <c r="S18" s="107">
        <f t="shared" si="8"/>
        <v>0</v>
      </c>
    </row>
    <row r="19" spans="1:19" ht="17.25" hidden="1" x14ac:dyDescent="0.25">
      <c r="A19" s="98"/>
      <c r="B19" s="99"/>
      <c r="C19" s="100"/>
      <c r="D19" s="101"/>
      <c r="E19" s="102">
        <f t="shared" si="0"/>
        <v>0</v>
      </c>
      <c r="F19" s="103"/>
      <c r="G19" s="104">
        <f t="shared" si="1"/>
        <v>0</v>
      </c>
      <c r="H19" s="103"/>
      <c r="I19" s="105">
        <f t="shared" si="2"/>
        <v>0</v>
      </c>
      <c r="J19" s="103"/>
      <c r="K19" s="104">
        <f t="shared" si="3"/>
        <v>0</v>
      </c>
      <c r="L19" s="103"/>
      <c r="M19" s="104">
        <f t="shared" si="4"/>
        <v>0</v>
      </c>
      <c r="N19" s="103"/>
      <c r="O19" s="104">
        <f t="shared" si="5"/>
        <v>0</v>
      </c>
      <c r="P19" s="103"/>
      <c r="Q19" s="104">
        <f t="shared" si="6"/>
        <v>0</v>
      </c>
      <c r="R19" s="106">
        <f t="shared" si="7"/>
        <v>0</v>
      </c>
      <c r="S19" s="107">
        <f t="shared" si="8"/>
        <v>0</v>
      </c>
    </row>
    <row r="20" spans="1:19" ht="17.25" hidden="1" x14ac:dyDescent="0.25">
      <c r="A20" s="108"/>
      <c r="B20" s="99"/>
      <c r="C20" s="100"/>
      <c r="D20" s="101"/>
      <c r="E20" s="102">
        <f t="shared" si="0"/>
        <v>0</v>
      </c>
      <c r="F20" s="103"/>
      <c r="G20" s="104">
        <f t="shared" si="1"/>
        <v>0</v>
      </c>
      <c r="H20" s="103"/>
      <c r="I20" s="105">
        <f t="shared" si="2"/>
        <v>0</v>
      </c>
      <c r="J20" s="103"/>
      <c r="K20" s="104">
        <f t="shared" si="3"/>
        <v>0</v>
      </c>
      <c r="L20" s="103"/>
      <c r="M20" s="104">
        <f t="shared" si="4"/>
        <v>0</v>
      </c>
      <c r="N20" s="103"/>
      <c r="O20" s="104">
        <f t="shared" si="5"/>
        <v>0</v>
      </c>
      <c r="P20" s="103"/>
      <c r="Q20" s="104">
        <f t="shared" si="6"/>
        <v>0</v>
      </c>
      <c r="R20" s="106">
        <f t="shared" si="7"/>
        <v>0</v>
      </c>
      <c r="S20" s="107">
        <f t="shared" si="8"/>
        <v>0</v>
      </c>
    </row>
    <row r="21" spans="1:19" ht="17.25" hidden="1" x14ac:dyDescent="0.25">
      <c r="A21" s="108"/>
      <c r="B21" s="99"/>
      <c r="C21" s="100"/>
      <c r="D21" s="101"/>
      <c r="E21" s="102">
        <f t="shared" si="0"/>
        <v>0</v>
      </c>
      <c r="F21" s="103"/>
      <c r="G21" s="104">
        <f t="shared" si="1"/>
        <v>0</v>
      </c>
      <c r="H21" s="103"/>
      <c r="I21" s="105">
        <f t="shared" si="2"/>
        <v>0</v>
      </c>
      <c r="J21" s="103"/>
      <c r="K21" s="104">
        <f t="shared" si="3"/>
        <v>0</v>
      </c>
      <c r="L21" s="103"/>
      <c r="M21" s="104">
        <f t="shared" si="4"/>
        <v>0</v>
      </c>
      <c r="N21" s="103"/>
      <c r="O21" s="104">
        <f t="shared" si="5"/>
        <v>0</v>
      </c>
      <c r="P21" s="103"/>
      <c r="Q21" s="104">
        <f t="shared" si="6"/>
        <v>0</v>
      </c>
      <c r="R21" s="106">
        <f t="shared" si="7"/>
        <v>0</v>
      </c>
      <c r="S21" s="107">
        <f t="shared" si="8"/>
        <v>0</v>
      </c>
    </row>
    <row r="22" spans="1:19" ht="17.25" hidden="1" x14ac:dyDescent="0.25">
      <c r="A22" s="108"/>
      <c r="B22" s="99"/>
      <c r="C22" s="100"/>
      <c r="D22" s="101"/>
      <c r="E22" s="102">
        <f t="shared" si="0"/>
        <v>0</v>
      </c>
      <c r="F22" s="103"/>
      <c r="G22" s="104">
        <f t="shared" si="1"/>
        <v>0</v>
      </c>
      <c r="H22" s="103"/>
      <c r="I22" s="105">
        <f t="shared" si="2"/>
        <v>0</v>
      </c>
      <c r="J22" s="103"/>
      <c r="K22" s="104">
        <f t="shared" si="3"/>
        <v>0</v>
      </c>
      <c r="L22" s="103"/>
      <c r="M22" s="104">
        <f t="shared" si="4"/>
        <v>0</v>
      </c>
      <c r="N22" s="103"/>
      <c r="O22" s="104">
        <f t="shared" si="5"/>
        <v>0</v>
      </c>
      <c r="P22" s="103"/>
      <c r="Q22" s="104">
        <f t="shared" si="6"/>
        <v>0</v>
      </c>
      <c r="R22" s="106">
        <f t="shared" si="7"/>
        <v>0</v>
      </c>
      <c r="S22" s="107">
        <f t="shared" si="8"/>
        <v>0</v>
      </c>
    </row>
    <row r="23" spans="1:19" ht="17.25" hidden="1" x14ac:dyDescent="0.25">
      <c r="A23" s="108"/>
      <c r="B23" s="99"/>
      <c r="C23" s="100"/>
      <c r="D23" s="101"/>
      <c r="E23" s="102">
        <f t="shared" si="0"/>
        <v>0</v>
      </c>
      <c r="F23" s="103"/>
      <c r="G23" s="104">
        <f t="shared" si="1"/>
        <v>0</v>
      </c>
      <c r="H23" s="103"/>
      <c r="I23" s="105">
        <f t="shared" si="2"/>
        <v>0</v>
      </c>
      <c r="J23" s="103"/>
      <c r="K23" s="104">
        <f t="shared" si="3"/>
        <v>0</v>
      </c>
      <c r="L23" s="103"/>
      <c r="M23" s="104">
        <f t="shared" si="4"/>
        <v>0</v>
      </c>
      <c r="N23" s="103"/>
      <c r="O23" s="104">
        <f t="shared" si="5"/>
        <v>0</v>
      </c>
      <c r="P23" s="103"/>
      <c r="Q23" s="104">
        <f t="shared" si="6"/>
        <v>0</v>
      </c>
      <c r="R23" s="106">
        <f t="shared" si="7"/>
        <v>0</v>
      </c>
      <c r="S23" s="107">
        <f t="shared" si="8"/>
        <v>0</v>
      </c>
    </row>
    <row r="24" spans="1:19" ht="17.25" hidden="1" x14ac:dyDescent="0.25">
      <c r="A24" s="108"/>
      <c r="B24" s="99"/>
      <c r="C24" s="100"/>
      <c r="D24" s="101"/>
      <c r="E24" s="102">
        <f t="shared" si="0"/>
        <v>0</v>
      </c>
      <c r="F24" s="103"/>
      <c r="G24" s="104">
        <f t="shared" si="1"/>
        <v>0</v>
      </c>
      <c r="H24" s="103"/>
      <c r="I24" s="105">
        <f t="shared" si="2"/>
        <v>0</v>
      </c>
      <c r="J24" s="103"/>
      <c r="K24" s="104">
        <f t="shared" si="3"/>
        <v>0</v>
      </c>
      <c r="L24" s="103"/>
      <c r="M24" s="104">
        <f t="shared" si="4"/>
        <v>0</v>
      </c>
      <c r="N24" s="103"/>
      <c r="O24" s="104">
        <f t="shared" si="5"/>
        <v>0</v>
      </c>
      <c r="P24" s="103"/>
      <c r="Q24" s="104">
        <f t="shared" si="6"/>
        <v>0</v>
      </c>
      <c r="R24" s="106">
        <f t="shared" si="7"/>
        <v>0</v>
      </c>
      <c r="S24" s="107">
        <f t="shared" si="8"/>
        <v>0</v>
      </c>
    </row>
    <row r="25" spans="1:19" ht="17.25" hidden="1" x14ac:dyDescent="0.25">
      <c r="A25" s="108"/>
      <c r="B25" s="99"/>
      <c r="C25" s="100"/>
      <c r="D25" s="101"/>
      <c r="E25" s="102">
        <f t="shared" si="0"/>
        <v>0</v>
      </c>
      <c r="F25" s="103"/>
      <c r="G25" s="104">
        <f t="shared" si="1"/>
        <v>0</v>
      </c>
      <c r="H25" s="103"/>
      <c r="I25" s="105">
        <f t="shared" si="2"/>
        <v>0</v>
      </c>
      <c r="J25" s="103"/>
      <c r="K25" s="104">
        <f t="shared" si="3"/>
        <v>0</v>
      </c>
      <c r="L25" s="103"/>
      <c r="M25" s="104">
        <f t="shared" si="4"/>
        <v>0</v>
      </c>
      <c r="N25" s="103"/>
      <c r="O25" s="104">
        <f t="shared" si="5"/>
        <v>0</v>
      </c>
      <c r="P25" s="103"/>
      <c r="Q25" s="104">
        <f t="shared" si="6"/>
        <v>0</v>
      </c>
      <c r="R25" s="106">
        <f t="shared" si="7"/>
        <v>0</v>
      </c>
      <c r="S25" s="107">
        <f t="shared" si="8"/>
        <v>0</v>
      </c>
    </row>
    <row r="26" spans="1:19" ht="17.25" hidden="1" x14ac:dyDescent="0.25">
      <c r="A26" s="108"/>
      <c r="B26" s="99"/>
      <c r="C26" s="100"/>
      <c r="D26" s="101"/>
      <c r="E26" s="102">
        <f t="shared" si="0"/>
        <v>0</v>
      </c>
      <c r="F26" s="103"/>
      <c r="G26" s="104">
        <f t="shared" si="1"/>
        <v>0</v>
      </c>
      <c r="H26" s="103"/>
      <c r="I26" s="105">
        <f t="shared" si="2"/>
        <v>0</v>
      </c>
      <c r="J26" s="103"/>
      <c r="K26" s="104">
        <f t="shared" si="3"/>
        <v>0</v>
      </c>
      <c r="L26" s="103"/>
      <c r="M26" s="104">
        <f t="shared" si="4"/>
        <v>0</v>
      </c>
      <c r="N26" s="103"/>
      <c r="O26" s="104">
        <f t="shared" si="5"/>
        <v>0</v>
      </c>
      <c r="P26" s="103"/>
      <c r="Q26" s="104">
        <f t="shared" si="6"/>
        <v>0</v>
      </c>
      <c r="R26" s="106">
        <f t="shared" si="7"/>
        <v>0</v>
      </c>
      <c r="S26" s="107">
        <f t="shared" si="8"/>
        <v>0</v>
      </c>
    </row>
    <row r="27" spans="1:19" ht="17.25" hidden="1" x14ac:dyDescent="0.25">
      <c r="A27" s="108"/>
      <c r="B27" s="99"/>
      <c r="C27" s="100"/>
      <c r="D27" s="101"/>
      <c r="E27" s="102">
        <f t="shared" si="0"/>
        <v>0</v>
      </c>
      <c r="F27" s="103"/>
      <c r="G27" s="104">
        <f t="shared" si="1"/>
        <v>0</v>
      </c>
      <c r="H27" s="103"/>
      <c r="I27" s="105">
        <f t="shared" si="2"/>
        <v>0</v>
      </c>
      <c r="J27" s="103"/>
      <c r="K27" s="104">
        <f t="shared" si="3"/>
        <v>0</v>
      </c>
      <c r="L27" s="103"/>
      <c r="M27" s="104">
        <f t="shared" si="4"/>
        <v>0</v>
      </c>
      <c r="N27" s="103"/>
      <c r="O27" s="104">
        <f t="shared" si="5"/>
        <v>0</v>
      </c>
      <c r="P27" s="103"/>
      <c r="Q27" s="104">
        <f t="shared" si="6"/>
        <v>0</v>
      </c>
      <c r="R27" s="106">
        <f t="shared" si="7"/>
        <v>0</v>
      </c>
      <c r="S27" s="107">
        <f t="shared" si="8"/>
        <v>0</v>
      </c>
    </row>
    <row r="28" spans="1:19" ht="17.25" hidden="1" x14ac:dyDescent="0.25">
      <c r="A28" s="108"/>
      <c r="B28" s="99"/>
      <c r="C28" s="100"/>
      <c r="D28" s="101"/>
      <c r="E28" s="102">
        <f t="shared" si="0"/>
        <v>0</v>
      </c>
      <c r="F28" s="103"/>
      <c r="G28" s="104">
        <f t="shared" si="1"/>
        <v>0</v>
      </c>
      <c r="H28" s="103"/>
      <c r="I28" s="105">
        <f t="shared" si="2"/>
        <v>0</v>
      </c>
      <c r="J28" s="103"/>
      <c r="K28" s="104">
        <f t="shared" si="3"/>
        <v>0</v>
      </c>
      <c r="L28" s="103"/>
      <c r="M28" s="104">
        <f t="shared" si="4"/>
        <v>0</v>
      </c>
      <c r="N28" s="103"/>
      <c r="O28" s="104">
        <f t="shared" si="5"/>
        <v>0</v>
      </c>
      <c r="P28" s="103"/>
      <c r="Q28" s="104">
        <f t="shared" si="6"/>
        <v>0</v>
      </c>
      <c r="R28" s="106">
        <f t="shared" si="7"/>
        <v>0</v>
      </c>
      <c r="S28" s="107">
        <f t="shared" si="8"/>
        <v>0</v>
      </c>
    </row>
    <row r="29" spans="1:19" ht="17.25" hidden="1" x14ac:dyDescent="0.25">
      <c r="A29" s="108"/>
      <c r="B29" s="99"/>
      <c r="C29" s="100"/>
      <c r="D29" s="101"/>
      <c r="E29" s="102">
        <f t="shared" si="0"/>
        <v>0</v>
      </c>
      <c r="F29" s="103"/>
      <c r="G29" s="104">
        <f t="shared" si="1"/>
        <v>0</v>
      </c>
      <c r="H29" s="103"/>
      <c r="I29" s="105">
        <f t="shared" si="2"/>
        <v>0</v>
      </c>
      <c r="J29" s="103"/>
      <c r="K29" s="104">
        <f t="shared" si="3"/>
        <v>0</v>
      </c>
      <c r="L29" s="103"/>
      <c r="M29" s="104">
        <f t="shared" si="4"/>
        <v>0</v>
      </c>
      <c r="N29" s="103"/>
      <c r="O29" s="104">
        <f t="shared" si="5"/>
        <v>0</v>
      </c>
      <c r="P29" s="103"/>
      <c r="Q29" s="104">
        <f t="shared" si="6"/>
        <v>0</v>
      </c>
      <c r="R29" s="106">
        <f t="shared" si="7"/>
        <v>0</v>
      </c>
      <c r="S29" s="107">
        <f t="shared" si="8"/>
        <v>0</v>
      </c>
    </row>
    <row r="30" spans="1:19" ht="17.25" hidden="1" x14ac:dyDescent="0.25">
      <c r="A30" s="98"/>
      <c r="B30" s="99"/>
      <c r="C30" s="100"/>
      <c r="D30" s="101"/>
      <c r="E30" s="102">
        <f t="shared" si="0"/>
        <v>0</v>
      </c>
      <c r="F30" s="103"/>
      <c r="G30" s="104">
        <f t="shared" si="1"/>
        <v>0</v>
      </c>
      <c r="H30" s="103"/>
      <c r="I30" s="105">
        <f t="shared" si="2"/>
        <v>0</v>
      </c>
      <c r="J30" s="103"/>
      <c r="K30" s="104"/>
      <c r="L30" s="103"/>
      <c r="M30" s="104">
        <f t="shared" si="4"/>
        <v>0</v>
      </c>
      <c r="N30" s="103"/>
      <c r="O30" s="104">
        <f t="shared" si="5"/>
        <v>0</v>
      </c>
      <c r="P30" s="103"/>
      <c r="Q30" s="104">
        <f t="shared" si="6"/>
        <v>0</v>
      </c>
      <c r="R30" s="106">
        <f t="shared" si="7"/>
        <v>0</v>
      </c>
      <c r="S30" s="107">
        <f t="shared" si="8"/>
        <v>0</v>
      </c>
    </row>
    <row r="31" spans="1:19" ht="17.25" hidden="1" x14ac:dyDescent="0.25">
      <c r="A31" s="98"/>
      <c r="B31" s="99"/>
      <c r="C31" s="100"/>
      <c r="D31" s="101"/>
      <c r="E31" s="102">
        <f t="shared" si="0"/>
        <v>0</v>
      </c>
      <c r="F31" s="103"/>
      <c r="G31" s="104">
        <f t="shared" si="1"/>
        <v>0</v>
      </c>
      <c r="H31" s="103"/>
      <c r="I31" s="105">
        <f t="shared" si="2"/>
        <v>0</v>
      </c>
      <c r="J31" s="103"/>
      <c r="K31" s="104">
        <f t="shared" si="3"/>
        <v>0</v>
      </c>
      <c r="L31" s="103"/>
      <c r="M31" s="104">
        <f t="shared" si="4"/>
        <v>0</v>
      </c>
      <c r="N31" s="103"/>
      <c r="O31" s="104">
        <f t="shared" si="5"/>
        <v>0</v>
      </c>
      <c r="P31" s="103"/>
      <c r="Q31" s="104">
        <f t="shared" si="6"/>
        <v>0</v>
      </c>
      <c r="R31" s="106">
        <f t="shared" si="7"/>
        <v>0</v>
      </c>
      <c r="S31" s="107">
        <f t="shared" si="8"/>
        <v>0</v>
      </c>
    </row>
    <row r="32" spans="1:19" ht="17.25" hidden="1" x14ac:dyDescent="0.25">
      <c r="A32" s="98"/>
      <c r="B32" s="99"/>
      <c r="C32" s="100"/>
      <c r="D32" s="101"/>
      <c r="E32" s="102">
        <f t="shared" si="0"/>
        <v>0</v>
      </c>
      <c r="F32" s="103"/>
      <c r="G32" s="104">
        <f t="shared" si="1"/>
        <v>0</v>
      </c>
      <c r="H32" s="103"/>
      <c r="I32" s="105">
        <f t="shared" si="2"/>
        <v>0</v>
      </c>
      <c r="J32" s="103"/>
      <c r="K32" s="104">
        <f t="shared" si="3"/>
        <v>0</v>
      </c>
      <c r="L32" s="103"/>
      <c r="M32" s="104">
        <f t="shared" si="4"/>
        <v>0</v>
      </c>
      <c r="N32" s="103"/>
      <c r="O32" s="104">
        <f t="shared" si="5"/>
        <v>0</v>
      </c>
      <c r="P32" s="103"/>
      <c r="Q32" s="104">
        <f t="shared" si="6"/>
        <v>0</v>
      </c>
      <c r="R32" s="106">
        <f t="shared" si="7"/>
        <v>0</v>
      </c>
      <c r="S32" s="107">
        <f t="shared" si="8"/>
        <v>0</v>
      </c>
    </row>
    <row r="33" spans="1:19" ht="17.25" hidden="1" x14ac:dyDescent="0.25">
      <c r="A33" s="98"/>
      <c r="B33" s="99"/>
      <c r="C33" s="100"/>
      <c r="D33" s="101"/>
      <c r="E33" s="102">
        <f t="shared" si="0"/>
        <v>0</v>
      </c>
      <c r="F33" s="103"/>
      <c r="G33" s="104">
        <f t="shared" si="1"/>
        <v>0</v>
      </c>
      <c r="H33" s="103"/>
      <c r="I33" s="105">
        <f t="shared" si="2"/>
        <v>0</v>
      </c>
      <c r="J33" s="103"/>
      <c r="K33" s="104">
        <f t="shared" si="3"/>
        <v>0</v>
      </c>
      <c r="L33" s="103"/>
      <c r="M33" s="104">
        <f t="shared" si="4"/>
        <v>0</v>
      </c>
      <c r="N33" s="103"/>
      <c r="O33" s="104">
        <f t="shared" si="5"/>
        <v>0</v>
      </c>
      <c r="P33" s="103"/>
      <c r="Q33" s="104">
        <f t="shared" si="6"/>
        <v>0</v>
      </c>
      <c r="R33" s="106">
        <f t="shared" si="7"/>
        <v>0</v>
      </c>
      <c r="S33" s="107">
        <f t="shared" si="8"/>
        <v>0</v>
      </c>
    </row>
    <row r="34" spans="1:19" ht="17.25" hidden="1" x14ac:dyDescent="0.25">
      <c r="A34" s="98"/>
      <c r="B34" s="99"/>
      <c r="C34" s="100"/>
      <c r="D34" s="101"/>
      <c r="E34" s="102">
        <f t="shared" si="0"/>
        <v>0</v>
      </c>
      <c r="F34" s="103"/>
      <c r="G34" s="104">
        <f t="shared" si="1"/>
        <v>0</v>
      </c>
      <c r="H34" s="103"/>
      <c r="I34" s="105">
        <f t="shared" si="2"/>
        <v>0</v>
      </c>
      <c r="J34" s="103"/>
      <c r="K34" s="104">
        <f t="shared" si="3"/>
        <v>0</v>
      </c>
      <c r="L34" s="103"/>
      <c r="M34" s="104">
        <f t="shared" si="4"/>
        <v>0</v>
      </c>
      <c r="N34" s="103"/>
      <c r="O34" s="104">
        <f t="shared" si="5"/>
        <v>0</v>
      </c>
      <c r="P34" s="103"/>
      <c r="Q34" s="104">
        <f t="shared" si="6"/>
        <v>0</v>
      </c>
      <c r="R34" s="106">
        <f t="shared" si="7"/>
        <v>0</v>
      </c>
      <c r="S34" s="107">
        <f t="shared" si="8"/>
        <v>0</v>
      </c>
    </row>
    <row r="35" spans="1:19" ht="17.25" hidden="1" x14ac:dyDescent="0.25">
      <c r="A35" s="98"/>
      <c r="B35" s="99"/>
      <c r="C35" s="100"/>
      <c r="D35" s="101"/>
      <c r="E35" s="102">
        <f t="shared" si="0"/>
        <v>0</v>
      </c>
      <c r="F35" s="103"/>
      <c r="G35" s="104">
        <f t="shared" si="1"/>
        <v>0</v>
      </c>
      <c r="H35" s="103"/>
      <c r="I35" s="105">
        <f t="shared" si="2"/>
        <v>0</v>
      </c>
      <c r="J35" s="103"/>
      <c r="K35" s="104">
        <f t="shared" si="3"/>
        <v>0</v>
      </c>
      <c r="L35" s="103"/>
      <c r="M35" s="104">
        <f t="shared" si="4"/>
        <v>0</v>
      </c>
      <c r="N35" s="103"/>
      <c r="O35" s="104">
        <f t="shared" si="5"/>
        <v>0</v>
      </c>
      <c r="P35" s="103"/>
      <c r="Q35" s="104">
        <f t="shared" si="6"/>
        <v>0</v>
      </c>
      <c r="R35" s="106">
        <f t="shared" si="7"/>
        <v>0</v>
      </c>
      <c r="S35" s="107">
        <f t="shared" si="8"/>
        <v>0</v>
      </c>
    </row>
    <row r="36" spans="1:19" ht="17.25" hidden="1" x14ac:dyDescent="0.25">
      <c r="A36" s="98"/>
      <c r="B36" s="99"/>
      <c r="C36" s="100"/>
      <c r="D36" s="101"/>
      <c r="E36" s="102">
        <f t="shared" si="0"/>
        <v>0</v>
      </c>
      <c r="F36" s="103"/>
      <c r="G36" s="104">
        <f t="shared" si="1"/>
        <v>0</v>
      </c>
      <c r="H36" s="103"/>
      <c r="I36" s="105">
        <f t="shared" si="2"/>
        <v>0</v>
      </c>
      <c r="J36" s="103"/>
      <c r="K36" s="104">
        <f t="shared" si="3"/>
        <v>0</v>
      </c>
      <c r="L36" s="103"/>
      <c r="M36" s="104">
        <f t="shared" si="4"/>
        <v>0</v>
      </c>
      <c r="N36" s="103"/>
      <c r="O36" s="104">
        <f t="shared" si="5"/>
        <v>0</v>
      </c>
      <c r="P36" s="103"/>
      <c r="Q36" s="104">
        <f t="shared" si="6"/>
        <v>0</v>
      </c>
      <c r="R36" s="106">
        <f t="shared" si="7"/>
        <v>0</v>
      </c>
      <c r="S36" s="107">
        <f t="shared" si="8"/>
        <v>0</v>
      </c>
    </row>
    <row r="37" spans="1:19" ht="17.25" hidden="1" x14ac:dyDescent="0.25">
      <c r="A37" s="98"/>
      <c r="B37" s="99"/>
      <c r="C37" s="100"/>
      <c r="D37" s="101"/>
      <c r="E37" s="102">
        <f t="shared" si="0"/>
        <v>0</v>
      </c>
      <c r="F37" s="103"/>
      <c r="G37" s="104">
        <f t="shared" si="1"/>
        <v>0</v>
      </c>
      <c r="H37" s="103"/>
      <c r="I37" s="105">
        <f t="shared" si="2"/>
        <v>0</v>
      </c>
      <c r="J37" s="103"/>
      <c r="K37" s="104">
        <f t="shared" si="3"/>
        <v>0</v>
      </c>
      <c r="L37" s="103"/>
      <c r="M37" s="104">
        <f t="shared" si="4"/>
        <v>0</v>
      </c>
      <c r="N37" s="103"/>
      <c r="O37" s="104">
        <f t="shared" si="5"/>
        <v>0</v>
      </c>
      <c r="P37" s="103"/>
      <c r="Q37" s="104">
        <f t="shared" si="6"/>
        <v>0</v>
      </c>
      <c r="R37" s="106">
        <f t="shared" si="7"/>
        <v>0</v>
      </c>
      <c r="S37" s="107">
        <f t="shared" si="8"/>
        <v>0</v>
      </c>
    </row>
    <row r="38" spans="1:19" ht="17.25" hidden="1" x14ac:dyDescent="0.25">
      <c r="A38" s="98"/>
      <c r="B38" s="99"/>
      <c r="C38" s="100"/>
      <c r="D38" s="101"/>
      <c r="E38" s="102">
        <f t="shared" si="0"/>
        <v>0</v>
      </c>
      <c r="F38" s="103"/>
      <c r="G38" s="104">
        <f t="shared" si="1"/>
        <v>0</v>
      </c>
      <c r="H38" s="103"/>
      <c r="I38" s="105">
        <f t="shared" si="2"/>
        <v>0</v>
      </c>
      <c r="J38" s="103"/>
      <c r="K38" s="104">
        <f t="shared" si="3"/>
        <v>0</v>
      </c>
      <c r="L38" s="103"/>
      <c r="M38" s="104">
        <f t="shared" si="4"/>
        <v>0</v>
      </c>
      <c r="N38" s="103"/>
      <c r="O38" s="104">
        <f t="shared" si="5"/>
        <v>0</v>
      </c>
      <c r="P38" s="103"/>
      <c r="Q38" s="104">
        <f t="shared" si="6"/>
        <v>0</v>
      </c>
      <c r="R38" s="106">
        <f t="shared" si="7"/>
        <v>0</v>
      </c>
      <c r="S38" s="107">
        <f t="shared" si="8"/>
        <v>0</v>
      </c>
    </row>
    <row r="39" spans="1:19" ht="17.25" hidden="1" x14ac:dyDescent="0.25">
      <c r="A39" s="98"/>
      <c r="B39" s="99"/>
      <c r="C39" s="100"/>
      <c r="D39" s="101"/>
      <c r="E39" s="102">
        <f t="shared" si="0"/>
        <v>0</v>
      </c>
      <c r="F39" s="103"/>
      <c r="G39" s="104">
        <f t="shared" si="1"/>
        <v>0</v>
      </c>
      <c r="H39" s="103"/>
      <c r="I39" s="105">
        <f t="shared" si="2"/>
        <v>0</v>
      </c>
      <c r="J39" s="103"/>
      <c r="K39" s="104">
        <f t="shared" si="3"/>
        <v>0</v>
      </c>
      <c r="L39" s="103"/>
      <c r="M39" s="104">
        <f t="shared" si="4"/>
        <v>0</v>
      </c>
      <c r="N39" s="103"/>
      <c r="O39" s="104">
        <f t="shared" si="5"/>
        <v>0</v>
      </c>
      <c r="P39" s="103"/>
      <c r="Q39" s="104">
        <f t="shared" si="6"/>
        <v>0</v>
      </c>
      <c r="R39" s="106">
        <f t="shared" si="7"/>
        <v>0</v>
      </c>
      <c r="S39" s="107">
        <f t="shared" si="8"/>
        <v>0</v>
      </c>
    </row>
    <row r="40" spans="1:19" ht="17.25" hidden="1" x14ac:dyDescent="0.25">
      <c r="A40" s="98"/>
      <c r="B40" s="99"/>
      <c r="C40" s="100"/>
      <c r="D40" s="101"/>
      <c r="E40" s="102">
        <f t="shared" si="0"/>
        <v>0</v>
      </c>
      <c r="F40" s="103"/>
      <c r="G40" s="104">
        <f t="shared" si="1"/>
        <v>0</v>
      </c>
      <c r="H40" s="103"/>
      <c r="I40" s="105">
        <f t="shared" si="2"/>
        <v>0</v>
      </c>
      <c r="J40" s="103"/>
      <c r="K40" s="104">
        <f t="shared" si="3"/>
        <v>0</v>
      </c>
      <c r="L40" s="103"/>
      <c r="M40" s="104">
        <f t="shared" si="4"/>
        <v>0</v>
      </c>
      <c r="N40" s="103"/>
      <c r="O40" s="104">
        <f t="shared" si="5"/>
        <v>0</v>
      </c>
      <c r="P40" s="103"/>
      <c r="Q40" s="104">
        <f t="shared" si="6"/>
        <v>0</v>
      </c>
      <c r="R40" s="106">
        <f t="shared" si="7"/>
        <v>0</v>
      </c>
      <c r="S40" s="107">
        <f t="shared" si="8"/>
        <v>0</v>
      </c>
    </row>
    <row r="41" spans="1:19" ht="17.25" hidden="1" x14ac:dyDescent="0.25">
      <c r="A41" s="98"/>
      <c r="B41" s="99"/>
      <c r="C41" s="100"/>
      <c r="D41" s="101"/>
      <c r="E41" s="102">
        <f t="shared" si="0"/>
        <v>0</v>
      </c>
      <c r="F41" s="103"/>
      <c r="G41" s="104">
        <f t="shared" si="1"/>
        <v>0</v>
      </c>
      <c r="H41" s="103"/>
      <c r="I41" s="105">
        <f t="shared" si="2"/>
        <v>0</v>
      </c>
      <c r="J41" s="103"/>
      <c r="K41" s="104">
        <f t="shared" si="3"/>
        <v>0</v>
      </c>
      <c r="L41" s="103"/>
      <c r="M41" s="104">
        <f t="shared" si="4"/>
        <v>0</v>
      </c>
      <c r="N41" s="103"/>
      <c r="O41" s="104">
        <f t="shared" si="5"/>
        <v>0</v>
      </c>
      <c r="P41" s="103"/>
      <c r="Q41" s="104">
        <f t="shared" si="6"/>
        <v>0</v>
      </c>
      <c r="R41" s="106">
        <f t="shared" si="7"/>
        <v>0</v>
      </c>
      <c r="S41" s="107">
        <f t="shared" si="8"/>
        <v>0</v>
      </c>
    </row>
    <row r="42" spans="1:19" ht="17.25" hidden="1" x14ac:dyDescent="0.25">
      <c r="A42" s="98"/>
      <c r="B42" s="99"/>
      <c r="C42" s="100"/>
      <c r="D42" s="101"/>
      <c r="E42" s="102">
        <f t="shared" si="0"/>
        <v>0</v>
      </c>
      <c r="F42" s="103"/>
      <c r="G42" s="104">
        <f t="shared" si="1"/>
        <v>0</v>
      </c>
      <c r="H42" s="103"/>
      <c r="I42" s="105">
        <f t="shared" si="2"/>
        <v>0</v>
      </c>
      <c r="J42" s="103"/>
      <c r="K42" s="104">
        <f t="shared" si="3"/>
        <v>0</v>
      </c>
      <c r="L42" s="103"/>
      <c r="M42" s="104">
        <f t="shared" si="4"/>
        <v>0</v>
      </c>
      <c r="N42" s="103"/>
      <c r="O42" s="104">
        <f t="shared" si="5"/>
        <v>0</v>
      </c>
      <c r="P42" s="103"/>
      <c r="Q42" s="104">
        <f t="shared" si="6"/>
        <v>0</v>
      </c>
      <c r="R42" s="106">
        <f t="shared" si="7"/>
        <v>0</v>
      </c>
      <c r="S42" s="107">
        <f t="shared" si="8"/>
        <v>0</v>
      </c>
    </row>
    <row r="43" spans="1:19" ht="17.25" hidden="1" x14ac:dyDescent="0.25">
      <c r="A43" s="98"/>
      <c r="B43" s="99"/>
      <c r="C43" s="100"/>
      <c r="D43" s="101"/>
      <c r="E43" s="102">
        <f t="shared" si="0"/>
        <v>0</v>
      </c>
      <c r="F43" s="103"/>
      <c r="G43" s="104">
        <f t="shared" si="1"/>
        <v>0</v>
      </c>
      <c r="H43" s="103"/>
      <c r="I43" s="105">
        <f t="shared" si="2"/>
        <v>0</v>
      </c>
      <c r="J43" s="103"/>
      <c r="K43" s="104">
        <f t="shared" si="3"/>
        <v>0</v>
      </c>
      <c r="L43" s="103"/>
      <c r="M43" s="104">
        <f t="shared" si="4"/>
        <v>0</v>
      </c>
      <c r="N43" s="103"/>
      <c r="O43" s="104">
        <f t="shared" si="5"/>
        <v>0</v>
      </c>
      <c r="P43" s="103"/>
      <c r="Q43" s="104">
        <f t="shared" si="6"/>
        <v>0</v>
      </c>
      <c r="R43" s="106">
        <f t="shared" si="7"/>
        <v>0</v>
      </c>
      <c r="S43" s="107">
        <f t="shared" si="8"/>
        <v>0</v>
      </c>
    </row>
    <row r="44" spans="1:19" ht="17.25" hidden="1" x14ac:dyDescent="0.25">
      <c r="A44" s="98"/>
      <c r="B44" s="99"/>
      <c r="C44" s="100"/>
      <c r="D44" s="101"/>
      <c r="E44" s="102">
        <f t="shared" si="0"/>
        <v>0</v>
      </c>
      <c r="F44" s="103"/>
      <c r="G44" s="104">
        <f t="shared" si="1"/>
        <v>0</v>
      </c>
      <c r="H44" s="103"/>
      <c r="I44" s="105">
        <f t="shared" si="2"/>
        <v>0</v>
      </c>
      <c r="J44" s="103"/>
      <c r="K44" s="104">
        <f t="shared" si="3"/>
        <v>0</v>
      </c>
      <c r="L44" s="103"/>
      <c r="M44" s="104">
        <f t="shared" si="4"/>
        <v>0</v>
      </c>
      <c r="N44" s="103"/>
      <c r="O44" s="104">
        <f t="shared" si="5"/>
        <v>0</v>
      </c>
      <c r="P44" s="103"/>
      <c r="Q44" s="104">
        <f t="shared" si="6"/>
        <v>0</v>
      </c>
      <c r="R44" s="106">
        <f t="shared" si="7"/>
        <v>0</v>
      </c>
      <c r="S44" s="107">
        <f t="shared" si="8"/>
        <v>0</v>
      </c>
    </row>
    <row r="45" spans="1:19" ht="17.25" hidden="1" x14ac:dyDescent="0.25">
      <c r="A45" s="98"/>
      <c r="B45" s="99"/>
      <c r="C45" s="100"/>
      <c r="D45" s="101"/>
      <c r="E45" s="102">
        <f t="shared" si="0"/>
        <v>0</v>
      </c>
      <c r="F45" s="103"/>
      <c r="G45" s="104">
        <f t="shared" si="1"/>
        <v>0</v>
      </c>
      <c r="H45" s="103"/>
      <c r="I45" s="105">
        <f t="shared" si="2"/>
        <v>0</v>
      </c>
      <c r="J45" s="103"/>
      <c r="K45" s="104">
        <f t="shared" si="3"/>
        <v>0</v>
      </c>
      <c r="L45" s="103"/>
      <c r="M45" s="104">
        <f t="shared" si="4"/>
        <v>0</v>
      </c>
      <c r="N45" s="103"/>
      <c r="O45" s="104">
        <f t="shared" si="5"/>
        <v>0</v>
      </c>
      <c r="P45" s="103"/>
      <c r="Q45" s="104">
        <f t="shared" si="6"/>
        <v>0</v>
      </c>
      <c r="R45" s="106">
        <f t="shared" si="7"/>
        <v>0</v>
      </c>
      <c r="S45" s="107">
        <f t="shared" si="8"/>
        <v>0</v>
      </c>
    </row>
    <row r="46" spans="1:19" ht="17.25" hidden="1" x14ac:dyDescent="0.25">
      <c r="A46" s="98"/>
      <c r="B46" s="99"/>
      <c r="C46" s="100"/>
      <c r="D46" s="101"/>
      <c r="E46" s="102">
        <f t="shared" si="0"/>
        <v>0</v>
      </c>
      <c r="F46" s="103"/>
      <c r="G46" s="104">
        <f t="shared" si="1"/>
        <v>0</v>
      </c>
      <c r="H46" s="103"/>
      <c r="I46" s="105">
        <f t="shared" si="2"/>
        <v>0</v>
      </c>
      <c r="J46" s="103"/>
      <c r="K46" s="104">
        <f t="shared" si="3"/>
        <v>0</v>
      </c>
      <c r="L46" s="103"/>
      <c r="M46" s="104">
        <f t="shared" si="4"/>
        <v>0</v>
      </c>
      <c r="N46" s="103"/>
      <c r="O46" s="104">
        <f t="shared" si="5"/>
        <v>0</v>
      </c>
      <c r="P46" s="103"/>
      <c r="Q46" s="104">
        <f t="shared" si="6"/>
        <v>0</v>
      </c>
      <c r="R46" s="106">
        <f t="shared" si="7"/>
        <v>0</v>
      </c>
      <c r="S46" s="107">
        <f t="shared" si="8"/>
        <v>0</v>
      </c>
    </row>
    <row r="47" spans="1:19" ht="17.25" x14ac:dyDescent="0.25">
      <c r="A47" s="98"/>
      <c r="B47" s="99"/>
      <c r="C47" s="100"/>
      <c r="D47" s="101"/>
      <c r="E47" s="102">
        <f t="shared" si="0"/>
        <v>0</v>
      </c>
      <c r="F47" s="103"/>
      <c r="G47" s="104">
        <f t="shared" si="1"/>
        <v>0</v>
      </c>
      <c r="H47" s="103"/>
      <c r="I47" s="105">
        <f t="shared" si="2"/>
        <v>0</v>
      </c>
      <c r="J47" s="103"/>
      <c r="K47" s="104">
        <f t="shared" si="3"/>
        <v>0</v>
      </c>
      <c r="L47" s="103"/>
      <c r="M47" s="104">
        <f t="shared" si="4"/>
        <v>0</v>
      </c>
      <c r="N47" s="103"/>
      <c r="O47" s="104">
        <f t="shared" si="5"/>
        <v>0</v>
      </c>
      <c r="P47" s="103"/>
      <c r="Q47" s="104">
        <f t="shared" si="6"/>
        <v>0</v>
      </c>
      <c r="R47" s="106">
        <f t="shared" si="7"/>
        <v>0</v>
      </c>
      <c r="S47" s="107">
        <f t="shared" si="8"/>
        <v>0</v>
      </c>
    </row>
    <row r="48" spans="1:19" ht="18" thickBot="1" x14ac:dyDescent="0.3">
      <c r="A48" s="109"/>
      <c r="B48" s="110"/>
      <c r="C48" s="111"/>
      <c r="D48" s="112"/>
      <c r="E48" s="113"/>
      <c r="F48" s="114"/>
      <c r="G48" s="115"/>
      <c r="H48" s="112"/>
      <c r="I48" s="116"/>
      <c r="J48" s="114"/>
      <c r="K48" s="115">
        <f t="shared" si="3"/>
        <v>0</v>
      </c>
      <c r="L48" s="114"/>
      <c r="M48" s="115">
        <f t="shared" si="4"/>
        <v>0</v>
      </c>
      <c r="N48" s="114"/>
      <c r="O48" s="115">
        <f t="shared" si="5"/>
        <v>0</v>
      </c>
      <c r="P48" s="114"/>
      <c r="Q48" s="115">
        <f t="shared" si="6"/>
        <v>0</v>
      </c>
      <c r="R48" s="106">
        <f t="shared" si="7"/>
        <v>0</v>
      </c>
      <c r="S48" s="117">
        <f t="shared" si="8"/>
        <v>0</v>
      </c>
    </row>
    <row r="49" spans="1:19" ht="18" thickBot="1" x14ac:dyDescent="0.35">
      <c r="A49" s="173" t="s">
        <v>7</v>
      </c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88"/>
    </row>
    <row r="50" spans="1:19" ht="18" thickBot="1" x14ac:dyDescent="0.35">
      <c r="A50" s="118" t="s">
        <v>8</v>
      </c>
      <c r="B50" s="175"/>
      <c r="C50" s="176"/>
      <c r="D50" s="119"/>
      <c r="E50" s="120">
        <f>+SUM(E12:E48)</f>
        <v>3770119.5</v>
      </c>
      <c r="F50" s="121"/>
      <c r="G50" s="122">
        <f>+SUM(G12:G48)</f>
        <v>3770119.5</v>
      </c>
      <c r="H50" s="121"/>
      <c r="I50" s="122">
        <f>+SUM(I12:I49)</f>
        <v>4121712.3966942155</v>
      </c>
      <c r="J50" s="121"/>
      <c r="K50" s="122">
        <f>+SUM(K12:K48)</f>
        <v>4775700</v>
      </c>
      <c r="L50" s="121"/>
      <c r="M50" s="122">
        <f>+SUM(M12:M48)</f>
        <v>4834711.5</v>
      </c>
      <c r="N50" s="121"/>
      <c r="O50" s="122">
        <f>+SUM(O12:O49)</f>
        <v>4275000</v>
      </c>
      <c r="P50" s="121"/>
      <c r="Q50" s="122">
        <f>+SUM(Q12:Q49)</f>
        <v>0</v>
      </c>
      <c r="R50" s="123"/>
      <c r="S50" s="122">
        <f>+SUM(S12:S49)</f>
        <v>3770119.5</v>
      </c>
    </row>
    <row r="51" spans="1:19" ht="14.25" customHeight="1" thickBot="1" x14ac:dyDescent="0.3">
      <c r="A51" s="124"/>
      <c r="B51" s="125"/>
      <c r="C51" s="125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</row>
    <row r="52" spans="1:19" ht="14.25" customHeight="1" x14ac:dyDescent="0.3">
      <c r="A52" s="127" t="s">
        <v>9</v>
      </c>
      <c r="B52" s="177"/>
      <c r="C52" s="170"/>
      <c r="D52" s="128">
        <v>0</v>
      </c>
      <c r="E52" s="129">
        <f>+E50*D52</f>
        <v>0</v>
      </c>
      <c r="F52" s="128">
        <v>0</v>
      </c>
      <c r="G52" s="130">
        <f>+G50*F52</f>
        <v>0</v>
      </c>
      <c r="H52" s="128">
        <v>0</v>
      </c>
      <c r="I52" s="130">
        <f>+I50*H52</f>
        <v>0</v>
      </c>
      <c r="J52" s="128">
        <v>0</v>
      </c>
      <c r="K52" s="130">
        <f>+K50*J52</f>
        <v>0</v>
      </c>
      <c r="L52" s="128">
        <v>0</v>
      </c>
      <c r="M52" s="130">
        <f>+M50*L52</f>
        <v>0</v>
      </c>
      <c r="N52" s="128">
        <v>0</v>
      </c>
      <c r="O52" s="130">
        <f>+O50*N52</f>
        <v>0</v>
      </c>
      <c r="P52" s="128">
        <v>0</v>
      </c>
      <c r="Q52" s="130">
        <f>+Q50*P52</f>
        <v>0</v>
      </c>
      <c r="R52" s="131"/>
      <c r="S52" s="130">
        <f>+S50*R52</f>
        <v>0</v>
      </c>
    </row>
    <row r="53" spans="1:19" ht="14.25" customHeight="1" x14ac:dyDescent="0.3">
      <c r="A53" s="132" t="s">
        <v>10</v>
      </c>
      <c r="B53" s="159">
        <v>1</v>
      </c>
      <c r="C53" s="160"/>
      <c r="D53" s="133"/>
      <c r="E53" s="134"/>
      <c r="F53" s="133"/>
      <c r="G53" s="102"/>
      <c r="H53" s="133"/>
      <c r="I53" s="102"/>
      <c r="J53" s="133"/>
      <c r="K53" s="102"/>
      <c r="L53" s="133"/>
      <c r="M53" s="102"/>
      <c r="N53" s="133"/>
      <c r="O53" s="102"/>
      <c r="P53" s="133"/>
      <c r="Q53" s="102"/>
      <c r="R53" s="135"/>
      <c r="S53" s="102"/>
    </row>
    <row r="54" spans="1:19" ht="14.25" customHeight="1" x14ac:dyDescent="0.3">
      <c r="A54" s="132" t="s">
        <v>11</v>
      </c>
      <c r="B54" s="159"/>
      <c r="C54" s="160"/>
      <c r="D54" s="133"/>
      <c r="E54" s="134">
        <f>+E50-E52</f>
        <v>3770119.5</v>
      </c>
      <c r="F54" s="133"/>
      <c r="G54" s="102">
        <f>+G50-G52</f>
        <v>3770119.5</v>
      </c>
      <c r="H54" s="133"/>
      <c r="I54" s="102">
        <f>+I50-I52</f>
        <v>4121712.3966942155</v>
      </c>
      <c r="J54" s="133"/>
      <c r="K54" s="102">
        <f>+K50-K52</f>
        <v>4775700</v>
      </c>
      <c r="L54" s="133"/>
      <c r="M54" s="102">
        <f>+M50-M52</f>
        <v>4834711.5</v>
      </c>
      <c r="N54" s="133"/>
      <c r="O54" s="102">
        <f>+O50-O52</f>
        <v>4275000</v>
      </c>
      <c r="P54" s="133"/>
      <c r="Q54" s="102">
        <f>+Q50-Q52</f>
        <v>0</v>
      </c>
      <c r="R54" s="135"/>
      <c r="S54" s="102">
        <f>+S50-S52</f>
        <v>3770119.5</v>
      </c>
    </row>
    <row r="55" spans="1:19" ht="14.25" customHeight="1" x14ac:dyDescent="0.3">
      <c r="A55" s="132" t="s">
        <v>12</v>
      </c>
      <c r="B55" s="183">
        <v>0.21</v>
      </c>
      <c r="C55" s="160"/>
      <c r="D55" s="133"/>
      <c r="E55" s="134">
        <f>(+E54)*B55</f>
        <v>791725.09499999997</v>
      </c>
      <c r="F55" s="133"/>
      <c r="G55" s="102">
        <f>(+G54)*B55</f>
        <v>791725.09499999997</v>
      </c>
      <c r="H55" s="133"/>
      <c r="I55" s="102">
        <f>(+I54)*B55</f>
        <v>865559.60330578522</v>
      </c>
      <c r="J55" s="133"/>
      <c r="K55" s="102">
        <f>(+K54)*B55</f>
        <v>1002897</v>
      </c>
      <c r="L55" s="133"/>
      <c r="M55" s="102">
        <f>(+M54)*B55</f>
        <v>1015289.4149999999</v>
      </c>
      <c r="N55" s="133"/>
      <c r="O55" s="102">
        <f>(+O54)*B55</f>
        <v>897750</v>
      </c>
      <c r="P55" s="133"/>
      <c r="Q55" s="102">
        <f>(+Q54)*B55</f>
        <v>0</v>
      </c>
      <c r="R55" s="135"/>
      <c r="S55" s="102">
        <f>S54*B55</f>
        <v>791725.09499999997</v>
      </c>
    </row>
    <row r="56" spans="1:19" ht="14.25" customHeight="1" x14ac:dyDescent="0.25">
      <c r="A56" s="136" t="s">
        <v>13</v>
      </c>
      <c r="B56" s="137"/>
      <c r="C56" s="138"/>
      <c r="D56" s="139"/>
      <c r="E56" s="140"/>
      <c r="F56" s="139"/>
      <c r="G56" s="141"/>
      <c r="H56" s="139"/>
      <c r="I56" s="141"/>
      <c r="J56" s="139"/>
      <c r="K56" s="141"/>
      <c r="L56" s="139"/>
      <c r="M56" s="141"/>
      <c r="N56" s="139"/>
      <c r="O56" s="141"/>
      <c r="P56" s="139"/>
      <c r="Q56" s="141"/>
      <c r="R56" s="142"/>
      <c r="S56" s="141"/>
    </row>
    <row r="57" spans="1:19" ht="14.25" customHeight="1" thickBot="1" x14ac:dyDescent="0.3">
      <c r="A57" s="143" t="s">
        <v>14</v>
      </c>
      <c r="B57" s="144"/>
      <c r="C57" s="145"/>
      <c r="D57" s="146"/>
      <c r="E57" s="147"/>
      <c r="F57" s="146"/>
      <c r="G57" s="113"/>
      <c r="H57" s="146"/>
      <c r="I57" s="113"/>
      <c r="J57" s="146"/>
      <c r="K57" s="113"/>
      <c r="L57" s="146"/>
      <c r="M57" s="113"/>
      <c r="N57" s="146"/>
      <c r="O57" s="113"/>
      <c r="P57" s="146"/>
      <c r="Q57" s="113"/>
      <c r="R57" s="148"/>
      <c r="S57" s="113"/>
    </row>
    <row r="58" spans="1:19" ht="14.25" customHeight="1" thickBot="1" x14ac:dyDescent="0.3">
      <c r="A58" s="124"/>
      <c r="B58" s="125"/>
      <c r="C58" s="125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</row>
    <row r="59" spans="1:19" ht="14.25" customHeight="1" thickBot="1" x14ac:dyDescent="0.3">
      <c r="A59" s="149" t="s">
        <v>15</v>
      </c>
      <c r="B59" s="150"/>
      <c r="C59" s="151"/>
      <c r="D59" s="152"/>
      <c r="E59" s="153">
        <f>+E54+E55+E57+E56</f>
        <v>4561844.5949999997</v>
      </c>
      <c r="F59" s="154"/>
      <c r="G59" s="153">
        <f>+G54+G55+G57+G56</f>
        <v>4561844.5949999997</v>
      </c>
      <c r="H59" s="154"/>
      <c r="I59" s="153">
        <f>+I54+I55+I57+I56</f>
        <v>4987272.0000000009</v>
      </c>
      <c r="J59" s="154"/>
      <c r="K59" s="153">
        <f>+K54+K55+K57+K56</f>
        <v>5778597</v>
      </c>
      <c r="L59" s="154"/>
      <c r="M59" s="153">
        <f>+M54+M55+M57+M56</f>
        <v>5850000.915</v>
      </c>
      <c r="N59" s="152"/>
      <c r="O59" s="155">
        <f>+O54+O55+O57+O56</f>
        <v>5172750</v>
      </c>
      <c r="P59" s="152"/>
      <c r="Q59" s="155">
        <f>+Q54+Q55+Q57+Q56</f>
        <v>0</v>
      </c>
      <c r="R59" s="152"/>
      <c r="S59" s="153">
        <f>SUM(S54:S57)</f>
        <v>4561844.5949999997</v>
      </c>
    </row>
    <row r="60" spans="1:19" ht="78.75" customHeight="1" thickBot="1" x14ac:dyDescent="0.35">
      <c r="A60" s="156" t="s">
        <v>16</v>
      </c>
      <c r="B60" s="184"/>
      <c r="C60" s="179"/>
      <c r="D60" s="178" t="s">
        <v>93</v>
      </c>
      <c r="E60" s="179"/>
      <c r="F60" s="185"/>
      <c r="G60" s="179"/>
      <c r="H60" s="185"/>
      <c r="I60" s="179"/>
      <c r="J60" s="185" t="s">
        <v>95</v>
      </c>
      <c r="K60" s="179"/>
      <c r="L60" s="185" t="s">
        <v>95</v>
      </c>
      <c r="M60" s="179"/>
      <c r="N60" s="178"/>
      <c r="O60" s="179"/>
      <c r="P60" s="178"/>
      <c r="Q60" s="179"/>
      <c r="R60" s="180"/>
      <c r="S60" s="179"/>
    </row>
    <row r="61" spans="1:19" ht="14.25" customHeight="1" x14ac:dyDescent="0.25">
      <c r="J61" s="74"/>
      <c r="L61" s="181"/>
    </row>
    <row r="62" spans="1:19" ht="14.25" customHeight="1" x14ac:dyDescent="0.25">
      <c r="J62" s="75"/>
      <c r="K62" s="76"/>
      <c r="L62" s="182"/>
      <c r="M62" s="76"/>
    </row>
    <row r="63" spans="1:19" ht="14.25" customHeight="1" x14ac:dyDescent="0.25">
      <c r="B63" s="77"/>
      <c r="G63" s="78"/>
      <c r="I63" s="78"/>
      <c r="J63" s="75"/>
      <c r="K63" s="78"/>
      <c r="L63" s="182"/>
      <c r="M63" s="78"/>
      <c r="O63" s="78"/>
      <c r="Q63" s="78"/>
    </row>
    <row r="64" spans="1:19" ht="14.25" customHeight="1" x14ac:dyDescent="0.25">
      <c r="J64" s="75"/>
      <c r="L64" s="182"/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8">
    <mergeCell ref="N60:O60"/>
    <mergeCell ref="P60:Q60"/>
    <mergeCell ref="R60:S60"/>
    <mergeCell ref="L61:L64"/>
    <mergeCell ref="B54:C54"/>
    <mergeCell ref="B55:C55"/>
    <mergeCell ref="B60:C60"/>
    <mergeCell ref="D60:E60"/>
    <mergeCell ref="F60:G60"/>
    <mergeCell ref="H60:I60"/>
    <mergeCell ref="J60:K60"/>
    <mergeCell ref="L60:M60"/>
    <mergeCell ref="B53:C53"/>
    <mergeCell ref="A8:S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P10:Q10"/>
    <mergeCell ref="R10:S10"/>
    <mergeCell ref="A49:R49"/>
    <mergeCell ref="B50:C50"/>
    <mergeCell ref="B52:C52"/>
  </mergeCells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CF69-E0E1-4534-AFAF-2E829DA090C0}">
  <dimension ref="A1:W994"/>
  <sheetViews>
    <sheetView zoomScale="55" zoomScaleNormal="55" workbookViewId="0">
      <pane xSplit="3" topLeftCell="D1" activePane="topRight" state="frozen"/>
      <selection pane="topRight" activeCell="G5" sqref="G5"/>
    </sheetView>
  </sheetViews>
  <sheetFormatPr baseColWidth="10" defaultColWidth="14.42578125" defaultRowHeight="15" x14ac:dyDescent="0.25"/>
  <cols>
    <col min="1" max="1" width="40.28515625" customWidth="1"/>
    <col min="2" max="2" width="6.85546875" customWidth="1"/>
    <col min="3" max="3" width="9" customWidth="1"/>
    <col min="4" max="4" width="14.7109375" customWidth="1"/>
    <col min="5" max="5" width="15.28515625" customWidth="1"/>
    <col min="6" max="6" width="14.7109375" customWidth="1"/>
    <col min="7" max="7" width="15.28515625" customWidth="1"/>
    <col min="8" max="8" width="14.7109375" customWidth="1"/>
    <col min="9" max="9" width="16.28515625" customWidth="1"/>
    <col min="10" max="10" width="14.7109375" customWidth="1"/>
    <col min="11" max="11" width="15.7109375" customWidth="1"/>
    <col min="12" max="12" width="14.7109375" hidden="1" customWidth="1"/>
    <col min="13" max="13" width="15.7109375" hidden="1" customWidth="1"/>
    <col min="14" max="14" width="14.7109375" hidden="1" customWidth="1"/>
    <col min="15" max="15" width="15.28515625" hidden="1" customWidth="1"/>
    <col min="16" max="16" width="14.7109375" hidden="1" customWidth="1"/>
    <col min="17" max="17" width="15.28515625" hidden="1" customWidth="1"/>
    <col min="18" max="18" width="14.7109375" customWidth="1"/>
    <col min="19" max="19" width="15.28515625" customWidth="1"/>
    <col min="20" max="26" width="10.7109375" customWidth="1"/>
  </cols>
  <sheetData>
    <row r="1" spans="1:19" ht="14.25" customHeight="1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ht="14.25" customHeight="1" x14ac:dyDescent="0.25">
      <c r="A2" s="5" t="s">
        <v>59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ht="14.25" customHeight="1" x14ac:dyDescent="0.25">
      <c r="A3" s="5"/>
      <c r="B3" s="1"/>
      <c r="C3" s="2"/>
      <c r="D3" s="3"/>
      <c r="E3" s="3"/>
      <c r="F3" s="3"/>
      <c r="G3" s="3"/>
      <c r="K3" s="3"/>
      <c r="M3" s="3"/>
      <c r="N3" s="3"/>
      <c r="O3" s="3"/>
      <c r="P3" s="3"/>
      <c r="Q3" s="3"/>
      <c r="R3" s="3"/>
      <c r="S3" s="4"/>
    </row>
    <row r="4" spans="1:19" ht="15.75" x14ac:dyDescent="0.25">
      <c r="A4" s="79" t="s">
        <v>23</v>
      </c>
      <c r="B4" s="6"/>
      <c r="C4" s="7"/>
      <c r="D4" s="6"/>
      <c r="E4" s="6"/>
      <c r="F4" s="6"/>
      <c r="G4" s="6"/>
      <c r="K4" s="6"/>
      <c r="M4" s="6"/>
      <c r="N4" s="6"/>
      <c r="O4" s="6"/>
      <c r="P4" s="6"/>
      <c r="Q4" s="6"/>
      <c r="R4" s="6"/>
      <c r="S4" s="4"/>
    </row>
    <row r="5" spans="1:19" ht="14.25" customHeight="1" x14ac:dyDescent="0.25">
      <c r="A5" s="5" t="s">
        <v>21</v>
      </c>
      <c r="B5" s="1"/>
      <c r="C5" s="2"/>
      <c r="D5" s="3"/>
      <c r="E5" s="3"/>
      <c r="F5" s="3"/>
      <c r="G5" s="3"/>
      <c r="K5" s="3"/>
      <c r="M5" s="3"/>
      <c r="N5" s="3"/>
      <c r="O5" s="3"/>
      <c r="P5" s="3"/>
      <c r="Q5" s="3"/>
      <c r="R5" s="3"/>
      <c r="S5" s="4"/>
    </row>
    <row r="6" spans="1:19" ht="15.75" x14ac:dyDescent="0.25">
      <c r="A6" s="79" t="s">
        <v>50</v>
      </c>
      <c r="B6" s="1"/>
      <c r="C6" s="2"/>
      <c r="D6" s="3"/>
      <c r="E6" s="3"/>
      <c r="F6" s="3"/>
      <c r="G6" s="3"/>
      <c r="K6" s="3"/>
      <c r="M6" s="3"/>
      <c r="N6" s="3"/>
      <c r="O6" s="3"/>
      <c r="P6" s="3"/>
      <c r="Q6" s="3"/>
      <c r="R6" s="3"/>
      <c r="S6" s="4"/>
    </row>
    <row r="7" spans="1:19" ht="14.25" customHeight="1" x14ac:dyDescent="0.25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1:19" ht="14.25" customHeight="1" x14ac:dyDescent="0.25">
      <c r="A8" s="188" t="s">
        <v>0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90"/>
    </row>
    <row r="9" spans="1:19" ht="14.25" customHeight="1" thickBot="1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</row>
    <row r="10" spans="1:19" ht="14.25" customHeight="1" x14ac:dyDescent="0.25">
      <c r="A10" s="191" t="s">
        <v>1</v>
      </c>
      <c r="B10" s="193" t="s">
        <v>2</v>
      </c>
      <c r="C10" s="195" t="s">
        <v>3</v>
      </c>
      <c r="D10" s="196" t="s">
        <v>83</v>
      </c>
      <c r="E10" s="197"/>
      <c r="F10" s="198" t="s">
        <v>84</v>
      </c>
      <c r="G10" s="197"/>
      <c r="H10" s="196" t="s">
        <v>86</v>
      </c>
      <c r="I10" s="199"/>
      <c r="J10" s="198" t="s">
        <v>87</v>
      </c>
      <c r="K10" s="197"/>
      <c r="L10" s="198"/>
      <c r="M10" s="197"/>
      <c r="N10" s="198"/>
      <c r="O10" s="197"/>
      <c r="P10" s="198"/>
      <c r="Q10" s="197"/>
      <c r="R10" s="198" t="s">
        <v>4</v>
      </c>
      <c r="S10" s="197"/>
    </row>
    <row r="11" spans="1:19" ht="14.25" customHeight="1" thickBot="1" x14ac:dyDescent="0.3">
      <c r="A11" s="192"/>
      <c r="B11" s="194"/>
      <c r="C11" s="194"/>
      <c r="D11" s="8" t="s">
        <v>5</v>
      </c>
      <c r="E11" s="9" t="s">
        <v>6</v>
      </c>
      <c r="F11" s="10" t="s">
        <v>5</v>
      </c>
      <c r="G11" s="9" t="s">
        <v>6</v>
      </c>
      <c r="H11" s="8" t="s">
        <v>5</v>
      </c>
      <c r="I11" s="11" t="s">
        <v>6</v>
      </c>
      <c r="J11" s="10" t="s">
        <v>5</v>
      </c>
      <c r="K11" s="9" t="s">
        <v>6</v>
      </c>
      <c r="L11" s="10" t="s">
        <v>5</v>
      </c>
      <c r="M11" s="9" t="s">
        <v>6</v>
      </c>
      <c r="N11" s="10" t="s">
        <v>5</v>
      </c>
      <c r="O11" s="9" t="s">
        <v>6</v>
      </c>
      <c r="P11" s="10" t="s">
        <v>5</v>
      </c>
      <c r="Q11" s="9" t="s">
        <v>6</v>
      </c>
      <c r="R11" s="10" t="s">
        <v>5</v>
      </c>
      <c r="S11" s="9" t="s">
        <v>6</v>
      </c>
    </row>
    <row r="12" spans="1:19" ht="14.25" customHeight="1" x14ac:dyDescent="0.25">
      <c r="A12" s="12"/>
      <c r="B12" s="13" t="s">
        <v>19</v>
      </c>
      <c r="C12" s="14"/>
      <c r="D12" s="15"/>
      <c r="E12" s="16">
        <f t="shared" ref="E12:E41" si="0">C12*D12</f>
        <v>0</v>
      </c>
      <c r="F12" s="17"/>
      <c r="G12" s="18">
        <f t="shared" ref="G12:G41" si="1">C12*F12</f>
        <v>0</v>
      </c>
      <c r="H12" s="15"/>
      <c r="I12" s="19">
        <f t="shared" ref="I12:I41" si="2">C12*H12</f>
        <v>0</v>
      </c>
      <c r="J12" s="17"/>
      <c r="K12" s="18">
        <f t="shared" ref="K12:K42" si="3">C12*J12</f>
        <v>0</v>
      </c>
      <c r="L12" s="17"/>
      <c r="M12" s="18">
        <f t="shared" ref="M12:M42" si="4">C12*L12</f>
        <v>0</v>
      </c>
      <c r="N12" s="17"/>
      <c r="O12" s="18">
        <f t="shared" ref="O12:O42" si="5">C12*N12</f>
        <v>0</v>
      </c>
      <c r="P12" s="17"/>
      <c r="Q12" s="18">
        <f t="shared" ref="Q12:Q42" si="6">C12*P12</f>
        <v>0</v>
      </c>
      <c r="R12" s="20">
        <f t="shared" ref="R12:R42" si="7">MIN(D12,F12,H12,J12,N12,L12,P12)</f>
        <v>0</v>
      </c>
      <c r="S12" s="21">
        <f t="shared" ref="S12:S42" si="8">R12*C12</f>
        <v>0</v>
      </c>
    </row>
    <row r="13" spans="1:19" ht="14.25" customHeight="1" x14ac:dyDescent="0.25">
      <c r="A13" s="81" t="s">
        <v>60</v>
      </c>
      <c r="B13" s="13" t="s">
        <v>19</v>
      </c>
      <c r="C13" s="14">
        <v>3</v>
      </c>
      <c r="D13" s="15">
        <v>5690.1</v>
      </c>
      <c r="E13" s="16">
        <f t="shared" si="0"/>
        <v>17070.300000000003</v>
      </c>
      <c r="F13" s="17">
        <v>5669.22</v>
      </c>
      <c r="G13" s="18">
        <f t="shared" si="1"/>
        <v>17007.66</v>
      </c>
      <c r="H13" s="17">
        <v>6475.15</v>
      </c>
      <c r="I13" s="19">
        <f t="shared" si="2"/>
        <v>19425.449999999997</v>
      </c>
      <c r="J13" s="17">
        <v>4841.5</v>
      </c>
      <c r="K13" s="18">
        <f t="shared" si="3"/>
        <v>14524.5</v>
      </c>
      <c r="L13" s="17"/>
      <c r="M13" s="18">
        <f t="shared" si="4"/>
        <v>0</v>
      </c>
      <c r="N13" s="17"/>
      <c r="O13" s="18">
        <f t="shared" si="5"/>
        <v>0</v>
      </c>
      <c r="P13" s="17"/>
      <c r="Q13" s="18">
        <f t="shared" si="6"/>
        <v>0</v>
      </c>
      <c r="R13" s="20">
        <f t="shared" si="7"/>
        <v>4841.5</v>
      </c>
      <c r="S13" s="21">
        <f t="shared" si="8"/>
        <v>14524.5</v>
      </c>
    </row>
    <row r="14" spans="1:19" ht="14.25" customHeight="1" x14ac:dyDescent="0.25">
      <c r="A14" s="81" t="s">
        <v>61</v>
      </c>
      <c r="B14" s="13" t="s">
        <v>19</v>
      </c>
      <c r="C14" s="14">
        <v>3</v>
      </c>
      <c r="D14" s="15">
        <v>4042.69</v>
      </c>
      <c r="E14" s="16">
        <f t="shared" si="0"/>
        <v>12128.07</v>
      </c>
      <c r="F14" s="17">
        <v>4158.2700000000004</v>
      </c>
      <c r="G14" s="18">
        <f t="shared" si="1"/>
        <v>12474.810000000001</v>
      </c>
      <c r="H14" s="17">
        <v>4510.95</v>
      </c>
      <c r="I14" s="19">
        <f t="shared" si="2"/>
        <v>13532.849999999999</v>
      </c>
      <c r="J14" s="17">
        <v>3372.68</v>
      </c>
      <c r="K14" s="18">
        <f t="shared" si="3"/>
        <v>10118.039999999999</v>
      </c>
      <c r="L14" s="17"/>
      <c r="M14" s="18">
        <f t="shared" si="4"/>
        <v>0</v>
      </c>
      <c r="N14" s="17"/>
      <c r="O14" s="18">
        <f t="shared" si="5"/>
        <v>0</v>
      </c>
      <c r="P14" s="17"/>
      <c r="Q14" s="18">
        <f t="shared" si="6"/>
        <v>0</v>
      </c>
      <c r="R14" s="20">
        <f t="shared" si="7"/>
        <v>3372.68</v>
      </c>
      <c r="S14" s="21">
        <f t="shared" si="8"/>
        <v>10118.039999999999</v>
      </c>
    </row>
    <row r="15" spans="1:19" ht="14.25" customHeight="1" x14ac:dyDescent="0.25">
      <c r="A15" s="81" t="s">
        <v>62</v>
      </c>
      <c r="B15" s="13" t="s">
        <v>19</v>
      </c>
      <c r="C15" s="14">
        <v>5</v>
      </c>
      <c r="D15" s="15">
        <v>3114.48</v>
      </c>
      <c r="E15" s="16">
        <f t="shared" si="0"/>
        <v>15572.4</v>
      </c>
      <c r="F15" s="17">
        <v>2209.9499999999998</v>
      </c>
      <c r="G15" s="18">
        <f t="shared" si="1"/>
        <v>11049.75</v>
      </c>
      <c r="H15" s="17">
        <v>2397.2999999999997</v>
      </c>
      <c r="I15" s="19">
        <f t="shared" si="2"/>
        <v>11986.499999999998</v>
      </c>
      <c r="J15" s="17">
        <v>1792.45</v>
      </c>
      <c r="K15" s="18">
        <f t="shared" si="3"/>
        <v>8962.25</v>
      </c>
      <c r="L15" s="17"/>
      <c r="M15" s="18">
        <f t="shared" si="4"/>
        <v>0</v>
      </c>
      <c r="N15" s="17"/>
      <c r="O15" s="18">
        <f t="shared" si="5"/>
        <v>0</v>
      </c>
      <c r="P15" s="17"/>
      <c r="Q15" s="18">
        <f t="shared" si="6"/>
        <v>0</v>
      </c>
      <c r="R15" s="20">
        <f t="shared" si="7"/>
        <v>1792.45</v>
      </c>
      <c r="S15" s="21">
        <f t="shared" si="8"/>
        <v>8962.25</v>
      </c>
    </row>
    <row r="16" spans="1:19" ht="14.25" customHeight="1" x14ac:dyDescent="0.25">
      <c r="A16" s="81" t="s">
        <v>63</v>
      </c>
      <c r="B16" s="13" t="s">
        <v>19</v>
      </c>
      <c r="C16" s="14">
        <v>4</v>
      </c>
      <c r="D16" s="15">
        <v>2487.62</v>
      </c>
      <c r="E16" s="16">
        <f t="shared" si="0"/>
        <v>9950.48</v>
      </c>
      <c r="F16" s="17">
        <v>2998.01</v>
      </c>
      <c r="G16" s="18">
        <f t="shared" si="1"/>
        <v>11992.04</v>
      </c>
      <c r="H16" s="17">
        <v>3254.35</v>
      </c>
      <c r="I16" s="19">
        <f t="shared" si="2"/>
        <v>13017.4</v>
      </c>
      <c r="J16" s="17">
        <v>2431.62</v>
      </c>
      <c r="K16" s="18">
        <f t="shared" si="3"/>
        <v>9726.48</v>
      </c>
      <c r="L16" s="17"/>
      <c r="M16" s="18">
        <f t="shared" si="4"/>
        <v>0</v>
      </c>
      <c r="N16" s="17"/>
      <c r="O16" s="18">
        <f t="shared" si="5"/>
        <v>0</v>
      </c>
      <c r="P16" s="17"/>
      <c r="Q16" s="18">
        <f t="shared" si="6"/>
        <v>0</v>
      </c>
      <c r="R16" s="20">
        <f t="shared" si="7"/>
        <v>2431.62</v>
      </c>
      <c r="S16" s="21">
        <f t="shared" si="8"/>
        <v>9726.48</v>
      </c>
    </row>
    <row r="17" spans="1:19" ht="14.25" customHeight="1" x14ac:dyDescent="0.25">
      <c r="A17" s="81" t="s">
        <v>64</v>
      </c>
      <c r="B17" s="13" t="s">
        <v>19</v>
      </c>
      <c r="C17" s="14">
        <v>4</v>
      </c>
      <c r="D17" s="15">
        <v>1152.72</v>
      </c>
      <c r="E17" s="16">
        <f t="shared" si="0"/>
        <v>4610.88</v>
      </c>
      <c r="F17" s="17">
        <v>1226.32</v>
      </c>
      <c r="G17" s="18">
        <f t="shared" si="1"/>
        <v>4905.28</v>
      </c>
      <c r="H17" s="17">
        <v>1332.8561000000002</v>
      </c>
      <c r="I17" s="19">
        <f t="shared" si="2"/>
        <v>5331.4244000000008</v>
      </c>
      <c r="J17" s="17">
        <v>994.63</v>
      </c>
      <c r="K17" s="18">
        <f t="shared" si="3"/>
        <v>3978.52</v>
      </c>
      <c r="L17" s="17"/>
      <c r="M17" s="18">
        <f t="shared" si="4"/>
        <v>0</v>
      </c>
      <c r="N17" s="17"/>
      <c r="O17" s="18">
        <f t="shared" si="5"/>
        <v>0</v>
      </c>
      <c r="P17" s="17"/>
      <c r="Q17" s="18">
        <f t="shared" si="6"/>
        <v>0</v>
      </c>
      <c r="R17" s="20">
        <f t="shared" si="7"/>
        <v>994.63</v>
      </c>
      <c r="S17" s="21">
        <f t="shared" si="8"/>
        <v>3978.52</v>
      </c>
    </row>
    <row r="18" spans="1:19" ht="14.25" customHeight="1" x14ac:dyDescent="0.25">
      <c r="A18" s="81" t="s">
        <v>65</v>
      </c>
      <c r="B18" s="13" t="s">
        <v>19</v>
      </c>
      <c r="C18" s="14">
        <v>2</v>
      </c>
      <c r="D18" s="15">
        <v>1578.57</v>
      </c>
      <c r="E18" s="16">
        <f t="shared" si="0"/>
        <v>3157.14</v>
      </c>
      <c r="F18" s="17">
        <v>1577.22</v>
      </c>
      <c r="G18" s="18">
        <f t="shared" si="1"/>
        <v>3154.44</v>
      </c>
      <c r="H18" s="17">
        <v>1711.05</v>
      </c>
      <c r="I18" s="19">
        <f t="shared" si="2"/>
        <v>3422.1</v>
      </c>
      <c r="J18" s="17">
        <v>1279.23</v>
      </c>
      <c r="K18" s="18">
        <f t="shared" si="3"/>
        <v>2558.46</v>
      </c>
      <c r="L18" s="17"/>
      <c r="M18" s="18">
        <f t="shared" si="4"/>
        <v>0</v>
      </c>
      <c r="N18" s="17"/>
      <c r="O18" s="18">
        <f t="shared" si="5"/>
        <v>0</v>
      </c>
      <c r="P18" s="17"/>
      <c r="Q18" s="18">
        <f t="shared" si="6"/>
        <v>0</v>
      </c>
      <c r="R18" s="20">
        <f t="shared" si="7"/>
        <v>1279.23</v>
      </c>
      <c r="S18" s="21">
        <f t="shared" si="8"/>
        <v>2558.46</v>
      </c>
    </row>
    <row r="19" spans="1:19" ht="14.25" customHeight="1" x14ac:dyDescent="0.25">
      <c r="A19" s="81" t="s">
        <v>66</v>
      </c>
      <c r="B19" s="13" t="s">
        <v>19</v>
      </c>
      <c r="C19" s="14">
        <v>4</v>
      </c>
      <c r="D19" s="15">
        <v>720.72</v>
      </c>
      <c r="E19" s="16">
        <f t="shared" si="0"/>
        <v>2882.88</v>
      </c>
      <c r="F19" s="17">
        <v>926.19</v>
      </c>
      <c r="G19" s="18">
        <f t="shared" si="1"/>
        <v>3704.76</v>
      </c>
      <c r="H19" s="17">
        <v>793</v>
      </c>
      <c r="I19" s="19">
        <f t="shared" si="2"/>
        <v>3172</v>
      </c>
      <c r="J19" s="17">
        <v>751.22</v>
      </c>
      <c r="K19" s="18">
        <f t="shared" si="3"/>
        <v>3004.88</v>
      </c>
      <c r="L19" s="17"/>
      <c r="M19" s="18">
        <f t="shared" si="4"/>
        <v>0</v>
      </c>
      <c r="N19" s="17"/>
      <c r="O19" s="18">
        <f t="shared" si="5"/>
        <v>0</v>
      </c>
      <c r="P19" s="17"/>
      <c r="Q19" s="18">
        <f t="shared" si="6"/>
        <v>0</v>
      </c>
      <c r="R19" s="20">
        <f t="shared" si="7"/>
        <v>720.72</v>
      </c>
      <c r="S19" s="21">
        <f t="shared" si="8"/>
        <v>2882.88</v>
      </c>
    </row>
    <row r="20" spans="1:19" ht="14.25" customHeight="1" x14ac:dyDescent="0.25">
      <c r="A20" s="82" t="s">
        <v>67</v>
      </c>
      <c r="B20" s="13" t="s">
        <v>19</v>
      </c>
      <c r="C20" s="14">
        <v>6</v>
      </c>
      <c r="D20" s="15">
        <v>512.15</v>
      </c>
      <c r="E20" s="16">
        <f t="shared" si="0"/>
        <v>3072.8999999999996</v>
      </c>
      <c r="F20" s="17">
        <v>729.43</v>
      </c>
      <c r="G20" s="18">
        <f t="shared" si="1"/>
        <v>4376.58</v>
      </c>
      <c r="H20" s="17">
        <v>1006.5</v>
      </c>
      <c r="I20" s="19">
        <f t="shared" si="2"/>
        <v>6039</v>
      </c>
      <c r="J20" s="17">
        <v>591.61</v>
      </c>
      <c r="K20" s="18">
        <f t="shared" si="3"/>
        <v>3549.66</v>
      </c>
      <c r="L20" s="17"/>
      <c r="M20" s="18">
        <f t="shared" si="4"/>
        <v>0</v>
      </c>
      <c r="N20" s="17"/>
      <c r="O20" s="18">
        <f t="shared" si="5"/>
        <v>0</v>
      </c>
      <c r="P20" s="17"/>
      <c r="Q20" s="18">
        <f t="shared" si="6"/>
        <v>0</v>
      </c>
      <c r="R20" s="20">
        <f t="shared" si="7"/>
        <v>512.15</v>
      </c>
      <c r="S20" s="21">
        <f t="shared" si="8"/>
        <v>3072.8999999999996</v>
      </c>
    </row>
    <row r="21" spans="1:19" ht="14.25" customHeight="1" x14ac:dyDescent="0.25">
      <c r="A21" s="82" t="s">
        <v>68</v>
      </c>
      <c r="B21" s="13" t="s">
        <v>19</v>
      </c>
      <c r="C21" s="14">
        <v>1</v>
      </c>
      <c r="D21" s="15">
        <v>4611.5600000000004</v>
      </c>
      <c r="E21" s="16">
        <f t="shared" si="0"/>
        <v>4611.5600000000004</v>
      </c>
      <c r="F21" s="17">
        <v>3732.52</v>
      </c>
      <c r="G21" s="18">
        <f t="shared" si="1"/>
        <v>3732.52</v>
      </c>
      <c r="H21" s="17">
        <v>4050.4</v>
      </c>
      <c r="I21" s="19">
        <f t="shared" si="2"/>
        <v>4050.4</v>
      </c>
      <c r="J21" s="17">
        <v>3027.37</v>
      </c>
      <c r="K21" s="18">
        <f t="shared" si="3"/>
        <v>3027.37</v>
      </c>
      <c r="L21" s="17"/>
      <c r="M21" s="18">
        <f t="shared" si="4"/>
        <v>0</v>
      </c>
      <c r="N21" s="17"/>
      <c r="O21" s="18">
        <f t="shared" si="5"/>
        <v>0</v>
      </c>
      <c r="P21" s="17"/>
      <c r="Q21" s="18">
        <f t="shared" si="6"/>
        <v>0</v>
      </c>
      <c r="R21" s="20">
        <f t="shared" si="7"/>
        <v>3027.37</v>
      </c>
      <c r="S21" s="21">
        <f t="shared" si="8"/>
        <v>3027.37</v>
      </c>
    </row>
    <row r="22" spans="1:19" ht="14.25" customHeight="1" x14ac:dyDescent="0.25">
      <c r="A22" s="82" t="s">
        <v>69</v>
      </c>
      <c r="B22" s="13" t="s">
        <v>19</v>
      </c>
      <c r="C22" s="14">
        <v>2</v>
      </c>
      <c r="D22" s="15">
        <v>1161.6099999999999</v>
      </c>
      <c r="E22" s="16">
        <f t="shared" si="0"/>
        <v>2323.2199999999998</v>
      </c>
      <c r="F22" s="17">
        <v>1226.05</v>
      </c>
      <c r="G22" s="18">
        <f t="shared" si="1"/>
        <v>2452.1</v>
      </c>
      <c r="H22" s="17">
        <v>1332.8561000000002</v>
      </c>
      <c r="I22" s="19">
        <f t="shared" si="2"/>
        <v>2665.7122000000004</v>
      </c>
      <c r="J22" s="17">
        <v>994.42</v>
      </c>
      <c r="K22" s="18">
        <f t="shared" si="3"/>
        <v>1988.84</v>
      </c>
      <c r="L22" s="17"/>
      <c r="M22" s="18">
        <f t="shared" si="4"/>
        <v>0</v>
      </c>
      <c r="N22" s="17"/>
      <c r="O22" s="18">
        <f t="shared" si="5"/>
        <v>0</v>
      </c>
      <c r="P22" s="17"/>
      <c r="Q22" s="18">
        <f t="shared" si="6"/>
        <v>0</v>
      </c>
      <c r="R22" s="20">
        <f t="shared" si="7"/>
        <v>994.42</v>
      </c>
      <c r="S22" s="21">
        <f t="shared" si="8"/>
        <v>1988.84</v>
      </c>
    </row>
    <row r="23" spans="1:19" ht="14.25" customHeight="1" x14ac:dyDescent="0.25">
      <c r="A23" s="82" t="s">
        <v>70</v>
      </c>
      <c r="B23" s="13" t="s">
        <v>19</v>
      </c>
      <c r="C23" s="14">
        <v>6</v>
      </c>
      <c r="D23" s="15">
        <v>793.51</v>
      </c>
      <c r="E23" s="16">
        <f t="shared" si="0"/>
        <v>4761.0599999999995</v>
      </c>
      <c r="F23" s="17">
        <v>836.29</v>
      </c>
      <c r="G23" s="18">
        <f t="shared" si="1"/>
        <v>5017.74</v>
      </c>
      <c r="H23" s="17">
        <v>908.89390000000003</v>
      </c>
      <c r="I23" s="19">
        <f t="shared" si="2"/>
        <v>5453.3634000000002</v>
      </c>
      <c r="J23" s="17">
        <v>678.29</v>
      </c>
      <c r="K23" s="18">
        <f t="shared" si="3"/>
        <v>4069.74</v>
      </c>
      <c r="L23" s="17"/>
      <c r="M23" s="18">
        <f t="shared" si="4"/>
        <v>0</v>
      </c>
      <c r="N23" s="17"/>
      <c r="O23" s="18">
        <f t="shared" si="5"/>
        <v>0</v>
      </c>
      <c r="P23" s="17"/>
      <c r="Q23" s="18">
        <f t="shared" si="6"/>
        <v>0</v>
      </c>
      <c r="R23" s="20">
        <f t="shared" si="7"/>
        <v>678.29</v>
      </c>
      <c r="S23" s="21">
        <f t="shared" si="8"/>
        <v>4069.74</v>
      </c>
    </row>
    <row r="24" spans="1:19" ht="14.25" customHeight="1" x14ac:dyDescent="0.25">
      <c r="A24" s="82" t="s">
        <v>71</v>
      </c>
      <c r="B24" s="13" t="s">
        <v>19</v>
      </c>
      <c r="C24" s="14">
        <v>1</v>
      </c>
      <c r="D24" s="15">
        <v>8051.53</v>
      </c>
      <c r="E24" s="16">
        <f t="shared" si="0"/>
        <v>8051.53</v>
      </c>
      <c r="F24" s="17">
        <v>6985.67</v>
      </c>
      <c r="G24" s="18">
        <f t="shared" si="1"/>
        <v>6985.67</v>
      </c>
      <c r="H24" s="17">
        <v>7579.2560999999996</v>
      </c>
      <c r="I24" s="19">
        <f t="shared" si="2"/>
        <v>7579.2560999999996</v>
      </c>
      <c r="J24" s="17">
        <v>5665.93</v>
      </c>
      <c r="K24" s="18">
        <f t="shared" si="3"/>
        <v>5665.93</v>
      </c>
      <c r="L24" s="17"/>
      <c r="M24" s="18">
        <f t="shared" si="4"/>
        <v>0</v>
      </c>
      <c r="N24" s="17"/>
      <c r="O24" s="18">
        <f t="shared" si="5"/>
        <v>0</v>
      </c>
      <c r="P24" s="17"/>
      <c r="Q24" s="18">
        <f t="shared" si="6"/>
        <v>0</v>
      </c>
      <c r="R24" s="20">
        <f t="shared" si="7"/>
        <v>5665.93</v>
      </c>
      <c r="S24" s="21">
        <f t="shared" si="8"/>
        <v>5665.93</v>
      </c>
    </row>
    <row r="25" spans="1:19" ht="14.25" customHeight="1" x14ac:dyDescent="0.25">
      <c r="A25" s="82" t="s">
        <v>72</v>
      </c>
      <c r="B25" s="13" t="s">
        <v>19</v>
      </c>
      <c r="C25" s="14">
        <v>1</v>
      </c>
      <c r="D25" s="15">
        <v>5489.78</v>
      </c>
      <c r="E25" s="16">
        <f t="shared" si="0"/>
        <v>5489.78</v>
      </c>
      <c r="F25" s="17">
        <v>6224.66</v>
      </c>
      <c r="G25" s="18">
        <f t="shared" si="1"/>
        <v>6224.66</v>
      </c>
      <c r="H25" s="17">
        <v>6594.0938999999998</v>
      </c>
      <c r="I25" s="19">
        <f t="shared" si="2"/>
        <v>6594.0938999999998</v>
      </c>
      <c r="J25" s="17">
        <v>5048.6899999999996</v>
      </c>
      <c r="K25" s="18">
        <f t="shared" si="3"/>
        <v>5048.6899999999996</v>
      </c>
      <c r="L25" s="17"/>
      <c r="M25" s="18">
        <f t="shared" si="4"/>
        <v>0</v>
      </c>
      <c r="N25" s="17"/>
      <c r="O25" s="18">
        <f t="shared" si="5"/>
        <v>0</v>
      </c>
      <c r="P25" s="17"/>
      <c r="Q25" s="18">
        <f t="shared" si="6"/>
        <v>0</v>
      </c>
      <c r="R25" s="20">
        <f t="shared" si="7"/>
        <v>5048.6899999999996</v>
      </c>
      <c r="S25" s="21">
        <f t="shared" si="8"/>
        <v>5048.6899999999996</v>
      </c>
    </row>
    <row r="26" spans="1:19" ht="14.25" customHeight="1" x14ac:dyDescent="0.25">
      <c r="A26" s="82" t="s">
        <v>73</v>
      </c>
      <c r="B26" s="13" t="s">
        <v>19</v>
      </c>
      <c r="C26" s="14">
        <v>1</v>
      </c>
      <c r="D26" s="15">
        <v>33767.58</v>
      </c>
      <c r="E26" s="16">
        <f t="shared" si="0"/>
        <v>33767.58</v>
      </c>
      <c r="F26" s="17">
        <v>33767.58</v>
      </c>
      <c r="G26" s="18">
        <f t="shared" si="1"/>
        <v>33767.58</v>
      </c>
      <c r="H26" s="17">
        <v>27089.4961</v>
      </c>
      <c r="I26" s="19">
        <f t="shared" si="2"/>
        <v>27089.4961</v>
      </c>
      <c r="J26" s="17">
        <v>49354.22</v>
      </c>
      <c r="K26" s="18">
        <f t="shared" si="3"/>
        <v>49354.22</v>
      </c>
      <c r="L26" s="17"/>
      <c r="M26" s="18">
        <f t="shared" si="4"/>
        <v>0</v>
      </c>
      <c r="N26" s="17"/>
      <c r="O26" s="18">
        <f t="shared" si="5"/>
        <v>0</v>
      </c>
      <c r="P26" s="17"/>
      <c r="Q26" s="18">
        <f t="shared" si="6"/>
        <v>0</v>
      </c>
      <c r="R26" s="20">
        <f t="shared" si="7"/>
        <v>27089.4961</v>
      </c>
      <c r="S26" s="21">
        <f t="shared" si="8"/>
        <v>27089.4961</v>
      </c>
    </row>
    <row r="27" spans="1:19" ht="14.25" customHeight="1" x14ac:dyDescent="0.25">
      <c r="A27" s="82" t="s">
        <v>74</v>
      </c>
      <c r="B27" s="13" t="s">
        <v>19</v>
      </c>
      <c r="C27" s="14">
        <v>5</v>
      </c>
      <c r="D27" s="15">
        <v>442.14</v>
      </c>
      <c r="E27" s="16">
        <f t="shared" si="0"/>
        <v>2210.6999999999998</v>
      </c>
      <c r="F27" s="17">
        <v>442.14</v>
      </c>
      <c r="G27" s="18">
        <f t="shared" si="1"/>
        <v>2210.6999999999998</v>
      </c>
      <c r="H27" s="17">
        <v>652.69999999999993</v>
      </c>
      <c r="I27" s="19">
        <f t="shared" si="2"/>
        <v>3263.4999999999995</v>
      </c>
      <c r="J27" s="17">
        <v>569.03</v>
      </c>
      <c r="K27" s="18">
        <f t="shared" si="3"/>
        <v>2845.1499999999996</v>
      </c>
      <c r="L27" s="17"/>
      <c r="M27" s="18">
        <f t="shared" si="4"/>
        <v>0</v>
      </c>
      <c r="N27" s="17"/>
      <c r="O27" s="18">
        <f t="shared" si="5"/>
        <v>0</v>
      </c>
      <c r="P27" s="17"/>
      <c r="Q27" s="18">
        <f t="shared" si="6"/>
        <v>0</v>
      </c>
      <c r="R27" s="20">
        <f t="shared" si="7"/>
        <v>442.14</v>
      </c>
      <c r="S27" s="21">
        <f t="shared" si="8"/>
        <v>2210.6999999999998</v>
      </c>
    </row>
    <row r="28" spans="1:19" ht="14.25" customHeight="1" x14ac:dyDescent="0.25">
      <c r="A28" s="82" t="s">
        <v>75</v>
      </c>
      <c r="B28" s="13" t="s">
        <v>19</v>
      </c>
      <c r="C28" s="14">
        <v>4</v>
      </c>
      <c r="D28" s="15">
        <v>177.31</v>
      </c>
      <c r="E28" s="16">
        <f t="shared" si="0"/>
        <v>709.24</v>
      </c>
      <c r="F28" s="17">
        <v>177.31</v>
      </c>
      <c r="G28" s="18">
        <f t="shared" si="1"/>
        <v>709.24</v>
      </c>
      <c r="H28" s="17">
        <v>167.75</v>
      </c>
      <c r="I28" s="19">
        <f t="shared" si="2"/>
        <v>671</v>
      </c>
      <c r="J28" s="17">
        <v>267.75</v>
      </c>
      <c r="K28" s="18">
        <f t="shared" si="3"/>
        <v>1071</v>
      </c>
      <c r="L28" s="17"/>
      <c r="M28" s="18">
        <f t="shared" si="4"/>
        <v>0</v>
      </c>
      <c r="N28" s="17"/>
      <c r="O28" s="18">
        <f t="shared" si="5"/>
        <v>0</v>
      </c>
      <c r="P28" s="17"/>
      <c r="Q28" s="18">
        <f t="shared" si="6"/>
        <v>0</v>
      </c>
      <c r="R28" s="20">
        <f t="shared" si="7"/>
        <v>167.75</v>
      </c>
      <c r="S28" s="21">
        <f t="shared" si="8"/>
        <v>671</v>
      </c>
    </row>
    <row r="29" spans="1:19" ht="14.25" customHeight="1" x14ac:dyDescent="0.25">
      <c r="A29" s="81" t="s">
        <v>76</v>
      </c>
      <c r="B29" s="13" t="s">
        <v>19</v>
      </c>
      <c r="C29" s="14">
        <v>1</v>
      </c>
      <c r="D29" s="15">
        <v>243.46</v>
      </c>
      <c r="E29" s="16">
        <f t="shared" si="0"/>
        <v>243.46</v>
      </c>
      <c r="F29" s="17">
        <v>243.46</v>
      </c>
      <c r="G29" s="18">
        <f t="shared" si="1"/>
        <v>243.46</v>
      </c>
      <c r="H29" s="17">
        <v>265.34999999999997</v>
      </c>
      <c r="I29" s="19">
        <f t="shared" si="2"/>
        <v>265.34999999999997</v>
      </c>
      <c r="J29" s="17">
        <v>374.85</v>
      </c>
      <c r="K29" s="18">
        <f t="shared" si="3"/>
        <v>374.85</v>
      </c>
      <c r="L29" s="17"/>
      <c r="M29" s="18">
        <f t="shared" si="4"/>
        <v>0</v>
      </c>
      <c r="N29" s="17"/>
      <c r="O29" s="18">
        <f t="shared" si="5"/>
        <v>0</v>
      </c>
      <c r="P29" s="17"/>
      <c r="Q29" s="18">
        <f t="shared" si="6"/>
        <v>0</v>
      </c>
      <c r="R29" s="20">
        <f t="shared" si="7"/>
        <v>243.46</v>
      </c>
      <c r="S29" s="21">
        <f t="shared" si="8"/>
        <v>243.46</v>
      </c>
    </row>
    <row r="30" spans="1:19" ht="14.25" customHeight="1" x14ac:dyDescent="0.25">
      <c r="A30" s="81" t="s">
        <v>77</v>
      </c>
      <c r="B30" s="13" t="s">
        <v>19</v>
      </c>
      <c r="C30" s="14">
        <v>1</v>
      </c>
      <c r="D30" s="15">
        <v>1106.33</v>
      </c>
      <c r="E30" s="16">
        <f t="shared" si="0"/>
        <v>1106.33</v>
      </c>
      <c r="F30" s="17">
        <v>1106.33</v>
      </c>
      <c r="G30" s="18">
        <f t="shared" si="1"/>
        <v>1106.33</v>
      </c>
      <c r="H30" s="17">
        <v>1744.6</v>
      </c>
      <c r="I30" s="19">
        <f t="shared" si="2"/>
        <v>1744.6</v>
      </c>
      <c r="J30" s="17">
        <v>1304.24</v>
      </c>
      <c r="K30" s="18">
        <f t="shared" si="3"/>
        <v>1304.24</v>
      </c>
      <c r="L30" s="17"/>
      <c r="M30" s="18">
        <f t="shared" si="4"/>
        <v>0</v>
      </c>
      <c r="N30" s="17"/>
      <c r="O30" s="18">
        <f t="shared" si="5"/>
        <v>0</v>
      </c>
      <c r="P30" s="17"/>
      <c r="Q30" s="18">
        <f t="shared" si="6"/>
        <v>0</v>
      </c>
      <c r="R30" s="20">
        <f t="shared" si="7"/>
        <v>1106.33</v>
      </c>
      <c r="S30" s="21">
        <f t="shared" si="8"/>
        <v>1106.33</v>
      </c>
    </row>
    <row r="31" spans="1:19" ht="14.25" customHeight="1" x14ac:dyDescent="0.25">
      <c r="A31" s="81" t="s">
        <v>78</v>
      </c>
      <c r="B31" s="13" t="s">
        <v>19</v>
      </c>
      <c r="C31" s="14">
        <v>10</v>
      </c>
      <c r="D31" s="15">
        <v>19930.88</v>
      </c>
      <c r="E31" s="16">
        <f t="shared" si="0"/>
        <v>199308.80000000002</v>
      </c>
      <c r="F31" s="17">
        <v>20383.849999999999</v>
      </c>
      <c r="G31" s="18">
        <f t="shared" si="1"/>
        <v>203838.5</v>
      </c>
      <c r="H31" s="17">
        <v>22112.5</v>
      </c>
      <c r="I31" s="19">
        <f t="shared" si="2"/>
        <v>221125</v>
      </c>
      <c r="J31" s="17">
        <v>16532.89</v>
      </c>
      <c r="K31" s="18">
        <f t="shared" si="3"/>
        <v>165328.9</v>
      </c>
      <c r="L31" s="17"/>
      <c r="M31" s="18">
        <f t="shared" si="4"/>
        <v>0</v>
      </c>
      <c r="N31" s="17"/>
      <c r="O31" s="18">
        <f t="shared" si="5"/>
        <v>0</v>
      </c>
      <c r="P31" s="17"/>
      <c r="Q31" s="18">
        <f t="shared" si="6"/>
        <v>0</v>
      </c>
      <c r="R31" s="20">
        <f t="shared" si="7"/>
        <v>16532.89</v>
      </c>
      <c r="S31" s="21">
        <f t="shared" si="8"/>
        <v>165328.9</v>
      </c>
    </row>
    <row r="32" spans="1:19" ht="14.25" customHeight="1" x14ac:dyDescent="0.25">
      <c r="A32" s="81" t="s">
        <v>79</v>
      </c>
      <c r="B32" s="13" t="s">
        <v>19</v>
      </c>
      <c r="C32" s="14">
        <v>4</v>
      </c>
      <c r="D32" s="15">
        <v>10249.59</v>
      </c>
      <c r="E32" s="16">
        <f t="shared" si="0"/>
        <v>40998.36</v>
      </c>
      <c r="F32" s="17">
        <v>11302.81</v>
      </c>
      <c r="G32" s="18">
        <f t="shared" si="1"/>
        <v>45211.24</v>
      </c>
      <c r="H32" s="17">
        <v>12261</v>
      </c>
      <c r="I32" s="19">
        <f t="shared" si="2"/>
        <v>49044</v>
      </c>
      <c r="J32" s="17">
        <v>9167.4599999999991</v>
      </c>
      <c r="K32" s="18">
        <f t="shared" si="3"/>
        <v>36669.839999999997</v>
      </c>
      <c r="L32" s="17"/>
      <c r="M32" s="18">
        <f t="shared" si="4"/>
        <v>0</v>
      </c>
      <c r="N32" s="17"/>
      <c r="O32" s="18">
        <f t="shared" si="5"/>
        <v>0</v>
      </c>
      <c r="P32" s="17"/>
      <c r="Q32" s="18">
        <f t="shared" si="6"/>
        <v>0</v>
      </c>
      <c r="R32" s="20">
        <f t="shared" si="7"/>
        <v>9167.4599999999991</v>
      </c>
      <c r="S32" s="21">
        <f t="shared" si="8"/>
        <v>36669.839999999997</v>
      </c>
    </row>
    <row r="33" spans="1:23" ht="14.25" customHeight="1" x14ac:dyDescent="0.25">
      <c r="A33" s="81" t="s">
        <v>80</v>
      </c>
      <c r="B33" s="13" t="s">
        <v>19</v>
      </c>
      <c r="C33" s="14">
        <v>1</v>
      </c>
      <c r="D33" s="15">
        <v>4248.18</v>
      </c>
      <c r="E33" s="16">
        <f t="shared" si="0"/>
        <v>4248.18</v>
      </c>
      <c r="F33" s="17">
        <v>5011.43</v>
      </c>
      <c r="G33" s="18">
        <f t="shared" si="1"/>
        <v>5011.43</v>
      </c>
      <c r="H33" s="17">
        <v>5438.15</v>
      </c>
      <c r="I33" s="19">
        <f t="shared" si="2"/>
        <v>5438.15</v>
      </c>
      <c r="J33" s="17">
        <v>4064.66</v>
      </c>
      <c r="K33" s="18">
        <f t="shared" si="3"/>
        <v>4064.66</v>
      </c>
      <c r="L33" s="17"/>
      <c r="M33" s="18">
        <f t="shared" si="4"/>
        <v>0</v>
      </c>
      <c r="N33" s="17"/>
      <c r="O33" s="18">
        <f t="shared" si="5"/>
        <v>0</v>
      </c>
      <c r="P33" s="17"/>
      <c r="Q33" s="18">
        <f t="shared" si="6"/>
        <v>0</v>
      </c>
      <c r="R33" s="20">
        <f t="shared" si="7"/>
        <v>4064.66</v>
      </c>
      <c r="S33" s="21">
        <f t="shared" si="8"/>
        <v>4064.66</v>
      </c>
    </row>
    <row r="34" spans="1:23" ht="14.25" customHeight="1" x14ac:dyDescent="0.25">
      <c r="A34" s="81" t="s">
        <v>81</v>
      </c>
      <c r="B34" s="13" t="s">
        <v>19</v>
      </c>
      <c r="C34" s="14">
        <v>4</v>
      </c>
      <c r="D34" s="15">
        <v>6534.71</v>
      </c>
      <c r="E34" s="16">
        <f t="shared" si="0"/>
        <v>26138.84</v>
      </c>
      <c r="F34" s="17">
        <v>7255.49</v>
      </c>
      <c r="G34" s="18">
        <f t="shared" si="1"/>
        <v>29021.96</v>
      </c>
      <c r="H34" s="17">
        <v>7872.05</v>
      </c>
      <c r="I34" s="19">
        <f t="shared" si="2"/>
        <v>31488.2</v>
      </c>
      <c r="J34" s="17">
        <v>5884.77</v>
      </c>
      <c r="K34" s="18">
        <f t="shared" si="3"/>
        <v>23539.08</v>
      </c>
      <c r="L34" s="17"/>
      <c r="M34" s="18">
        <f t="shared" si="4"/>
        <v>0</v>
      </c>
      <c r="N34" s="17"/>
      <c r="O34" s="18">
        <f t="shared" si="5"/>
        <v>0</v>
      </c>
      <c r="P34" s="17"/>
      <c r="Q34" s="18">
        <f t="shared" si="6"/>
        <v>0</v>
      </c>
      <c r="R34" s="20">
        <f t="shared" si="7"/>
        <v>5884.77</v>
      </c>
      <c r="S34" s="21">
        <f t="shared" si="8"/>
        <v>23539.08</v>
      </c>
    </row>
    <row r="35" spans="1:23" ht="14.25" customHeight="1" x14ac:dyDescent="0.25">
      <c r="A35" s="81" t="s">
        <v>82</v>
      </c>
      <c r="B35" s="13" t="s">
        <v>19</v>
      </c>
      <c r="C35" s="14">
        <v>4</v>
      </c>
      <c r="D35" s="15">
        <v>3897.4</v>
      </c>
      <c r="E35" s="16">
        <f t="shared" si="0"/>
        <v>15589.6</v>
      </c>
      <c r="F35" s="17">
        <v>3897.4</v>
      </c>
      <c r="G35" s="18">
        <f t="shared" si="1"/>
        <v>15589.6</v>
      </c>
      <c r="H35" s="17">
        <v>7454.2</v>
      </c>
      <c r="I35" s="19">
        <f t="shared" si="2"/>
        <v>29816.799999999999</v>
      </c>
      <c r="J35" s="17">
        <v>4148</v>
      </c>
      <c r="K35" s="18">
        <f t="shared" si="3"/>
        <v>16592</v>
      </c>
      <c r="L35" s="17"/>
      <c r="M35" s="18">
        <f t="shared" si="4"/>
        <v>0</v>
      </c>
      <c r="N35" s="17"/>
      <c r="O35" s="18">
        <f t="shared" si="5"/>
        <v>0</v>
      </c>
      <c r="P35" s="17"/>
      <c r="Q35" s="18">
        <f t="shared" si="6"/>
        <v>0</v>
      </c>
      <c r="R35" s="20">
        <f t="shared" si="7"/>
        <v>3897.4</v>
      </c>
      <c r="S35" s="21">
        <f t="shared" si="8"/>
        <v>15589.6</v>
      </c>
    </row>
    <row r="36" spans="1:23" ht="14.25" customHeight="1" x14ac:dyDescent="0.25">
      <c r="A36" s="12"/>
      <c r="B36" s="13"/>
      <c r="C36" s="14"/>
      <c r="D36" s="15"/>
      <c r="E36" s="16">
        <f t="shared" si="0"/>
        <v>0</v>
      </c>
      <c r="F36" s="17"/>
      <c r="G36" s="18">
        <f t="shared" si="1"/>
        <v>0</v>
      </c>
      <c r="H36" s="17"/>
      <c r="I36" s="19"/>
      <c r="J36" s="17"/>
      <c r="K36" s="18">
        <f t="shared" si="3"/>
        <v>0</v>
      </c>
      <c r="L36" s="17"/>
      <c r="M36" s="18">
        <f t="shared" si="4"/>
        <v>0</v>
      </c>
      <c r="N36" s="17"/>
      <c r="O36" s="18">
        <f t="shared" si="5"/>
        <v>0</v>
      </c>
      <c r="P36" s="17"/>
      <c r="Q36" s="18">
        <f t="shared" si="6"/>
        <v>0</v>
      </c>
      <c r="R36" s="20">
        <f t="shared" si="7"/>
        <v>0</v>
      </c>
      <c r="S36" s="21">
        <f t="shared" si="8"/>
        <v>0</v>
      </c>
    </row>
    <row r="37" spans="1:23" ht="14.25" customHeight="1" x14ac:dyDescent="0.25">
      <c r="A37" s="12"/>
      <c r="B37" s="13"/>
      <c r="C37" s="14"/>
      <c r="D37" s="15"/>
      <c r="E37" s="16">
        <f t="shared" si="0"/>
        <v>0</v>
      </c>
      <c r="F37" s="17"/>
      <c r="G37" s="18">
        <f t="shared" si="1"/>
        <v>0</v>
      </c>
      <c r="H37" s="17"/>
      <c r="I37" s="19">
        <f t="shared" si="2"/>
        <v>0</v>
      </c>
      <c r="J37" s="17"/>
      <c r="K37" s="18">
        <f t="shared" si="3"/>
        <v>0</v>
      </c>
      <c r="L37" s="17"/>
      <c r="M37" s="18">
        <f t="shared" si="4"/>
        <v>0</v>
      </c>
      <c r="N37" s="17"/>
      <c r="O37" s="18">
        <f t="shared" si="5"/>
        <v>0</v>
      </c>
      <c r="P37" s="17"/>
      <c r="Q37" s="18">
        <f t="shared" si="6"/>
        <v>0</v>
      </c>
      <c r="R37" s="20">
        <f t="shared" si="7"/>
        <v>0</v>
      </c>
      <c r="S37" s="21">
        <f t="shared" si="8"/>
        <v>0</v>
      </c>
    </row>
    <row r="38" spans="1:23" ht="14.25" customHeight="1" x14ac:dyDescent="0.25">
      <c r="A38" s="12"/>
      <c r="B38" s="13"/>
      <c r="C38" s="14"/>
      <c r="D38" s="15"/>
      <c r="E38" s="16">
        <f t="shared" si="0"/>
        <v>0</v>
      </c>
      <c r="F38" s="17"/>
      <c r="G38" s="18">
        <f t="shared" si="1"/>
        <v>0</v>
      </c>
      <c r="H38" s="17"/>
      <c r="I38" s="19">
        <f t="shared" si="2"/>
        <v>0</v>
      </c>
      <c r="J38" s="17"/>
      <c r="K38" s="18">
        <f t="shared" si="3"/>
        <v>0</v>
      </c>
      <c r="L38" s="17"/>
      <c r="M38" s="18">
        <f t="shared" si="4"/>
        <v>0</v>
      </c>
      <c r="N38" s="17"/>
      <c r="O38" s="18">
        <f t="shared" si="5"/>
        <v>0</v>
      </c>
      <c r="P38" s="17"/>
      <c r="Q38" s="18">
        <f t="shared" si="6"/>
        <v>0</v>
      </c>
      <c r="R38" s="20">
        <f t="shared" si="7"/>
        <v>0</v>
      </c>
      <c r="S38" s="21">
        <f t="shared" si="8"/>
        <v>0</v>
      </c>
    </row>
    <row r="39" spans="1:23" ht="14.25" customHeight="1" x14ac:dyDescent="0.25">
      <c r="A39" s="12"/>
      <c r="B39" s="13"/>
      <c r="C39" s="14"/>
      <c r="D39" s="15"/>
      <c r="E39" s="16">
        <f t="shared" si="0"/>
        <v>0</v>
      </c>
      <c r="F39" s="17"/>
      <c r="G39" s="18">
        <f t="shared" si="1"/>
        <v>0</v>
      </c>
      <c r="H39" s="17"/>
      <c r="I39" s="19">
        <f t="shared" si="2"/>
        <v>0</v>
      </c>
      <c r="J39" s="17"/>
      <c r="K39" s="18">
        <f t="shared" si="3"/>
        <v>0</v>
      </c>
      <c r="L39" s="17"/>
      <c r="M39" s="18">
        <f t="shared" si="4"/>
        <v>0</v>
      </c>
      <c r="N39" s="17"/>
      <c r="O39" s="18">
        <f t="shared" si="5"/>
        <v>0</v>
      </c>
      <c r="P39" s="17"/>
      <c r="Q39" s="18">
        <f t="shared" si="6"/>
        <v>0</v>
      </c>
      <c r="R39" s="20">
        <f t="shared" si="7"/>
        <v>0</v>
      </c>
      <c r="S39" s="21">
        <f t="shared" si="8"/>
        <v>0</v>
      </c>
    </row>
    <row r="40" spans="1:23" ht="14.25" customHeight="1" x14ac:dyDescent="0.25">
      <c r="A40" s="12"/>
      <c r="B40" s="13"/>
      <c r="C40" s="14"/>
      <c r="D40" s="15"/>
      <c r="E40" s="16">
        <f t="shared" si="0"/>
        <v>0</v>
      </c>
      <c r="F40" s="17"/>
      <c r="G40" s="18">
        <f t="shared" si="1"/>
        <v>0</v>
      </c>
      <c r="H40" s="17"/>
      <c r="I40" s="19">
        <f t="shared" si="2"/>
        <v>0</v>
      </c>
      <c r="J40" s="17"/>
      <c r="K40" s="18">
        <f t="shared" si="3"/>
        <v>0</v>
      </c>
      <c r="L40" s="17"/>
      <c r="M40" s="18">
        <f t="shared" si="4"/>
        <v>0</v>
      </c>
      <c r="N40" s="17"/>
      <c r="O40" s="18">
        <f t="shared" si="5"/>
        <v>0</v>
      </c>
      <c r="P40" s="17"/>
      <c r="Q40" s="18">
        <f t="shared" si="6"/>
        <v>0</v>
      </c>
      <c r="R40" s="20">
        <f t="shared" si="7"/>
        <v>0</v>
      </c>
      <c r="S40" s="21">
        <f t="shared" si="8"/>
        <v>0</v>
      </c>
    </row>
    <row r="41" spans="1:23" ht="14.25" customHeight="1" x14ac:dyDescent="0.25">
      <c r="A41" s="12"/>
      <c r="B41" s="13"/>
      <c r="C41" s="14"/>
      <c r="D41" s="15"/>
      <c r="E41" s="16">
        <f t="shared" si="0"/>
        <v>0</v>
      </c>
      <c r="F41" s="17"/>
      <c r="G41" s="18">
        <f t="shared" si="1"/>
        <v>0</v>
      </c>
      <c r="H41" s="17"/>
      <c r="I41" s="19">
        <f t="shared" si="2"/>
        <v>0</v>
      </c>
      <c r="J41" s="17"/>
      <c r="K41" s="18">
        <f t="shared" si="3"/>
        <v>0</v>
      </c>
      <c r="L41" s="17"/>
      <c r="M41" s="18">
        <f t="shared" si="4"/>
        <v>0</v>
      </c>
      <c r="N41" s="17"/>
      <c r="O41" s="18">
        <f t="shared" si="5"/>
        <v>0</v>
      </c>
      <c r="P41" s="17"/>
      <c r="Q41" s="18">
        <f t="shared" si="6"/>
        <v>0</v>
      </c>
      <c r="R41" s="20">
        <f t="shared" si="7"/>
        <v>0</v>
      </c>
      <c r="S41" s="21">
        <f t="shared" si="8"/>
        <v>0</v>
      </c>
    </row>
    <row r="42" spans="1:23" ht="14.25" customHeight="1" thickBot="1" x14ac:dyDescent="0.3">
      <c r="A42" s="24"/>
      <c r="B42" s="25"/>
      <c r="C42" s="26"/>
      <c r="D42" s="27"/>
      <c r="E42" s="28"/>
      <c r="F42" s="29"/>
      <c r="G42" s="30"/>
      <c r="H42" s="27"/>
      <c r="I42" s="31"/>
      <c r="J42" s="29"/>
      <c r="K42" s="30">
        <f t="shared" si="3"/>
        <v>0</v>
      </c>
      <c r="L42" s="29"/>
      <c r="M42" s="30">
        <f t="shared" si="4"/>
        <v>0</v>
      </c>
      <c r="N42" s="29"/>
      <c r="O42" s="30">
        <f t="shared" si="5"/>
        <v>0</v>
      </c>
      <c r="P42" s="29"/>
      <c r="Q42" s="30">
        <f t="shared" si="6"/>
        <v>0</v>
      </c>
      <c r="R42" s="20">
        <f t="shared" si="7"/>
        <v>0</v>
      </c>
      <c r="S42" s="32">
        <f t="shared" si="8"/>
        <v>0</v>
      </c>
    </row>
    <row r="43" spans="1:23" ht="14.25" customHeight="1" thickBot="1" x14ac:dyDescent="0.3">
      <c r="A43" s="200" t="s">
        <v>7</v>
      </c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4"/>
    </row>
    <row r="44" spans="1:23" ht="14.25" customHeight="1" thickBot="1" x14ac:dyDescent="0.3">
      <c r="A44" s="33" t="s">
        <v>8</v>
      </c>
      <c r="B44" s="201"/>
      <c r="C44" s="202"/>
      <c r="D44" s="34"/>
      <c r="E44" s="35">
        <f>+SUM(E12:E42)</f>
        <v>418003.29</v>
      </c>
      <c r="F44" s="36"/>
      <c r="G44" s="37">
        <f>+SUM(G12:G42)</f>
        <v>429788.05000000005</v>
      </c>
      <c r="H44" s="36"/>
      <c r="I44" s="37">
        <f>+SUM(I12:I43)</f>
        <v>472215.64610000001</v>
      </c>
      <c r="J44" s="36"/>
      <c r="K44" s="37">
        <f>+SUM(K12:K42)</f>
        <v>377367.29999999993</v>
      </c>
      <c r="L44" s="36"/>
      <c r="M44" s="37">
        <f>+SUM(M12:M42)</f>
        <v>0</v>
      </c>
      <c r="N44" s="36"/>
      <c r="O44" s="37">
        <f>+SUM(O12:O43)</f>
        <v>0</v>
      </c>
      <c r="P44" s="36"/>
      <c r="Q44" s="37">
        <f>+SUM(Q12:Q43)</f>
        <v>0</v>
      </c>
      <c r="R44" s="38"/>
      <c r="S44" s="37">
        <f>+SUM(S12:S43)</f>
        <v>352137.66609999991</v>
      </c>
      <c r="V44" s="83"/>
      <c r="W44" s="84"/>
    </row>
    <row r="45" spans="1:23" ht="14.25" customHeight="1" thickBot="1" x14ac:dyDescent="0.3">
      <c r="A45" s="39"/>
      <c r="B45" s="40"/>
      <c r="C45" s="40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</row>
    <row r="46" spans="1:23" ht="14.25" customHeight="1" x14ac:dyDescent="0.25">
      <c r="A46" s="42" t="s">
        <v>9</v>
      </c>
      <c r="B46" s="203"/>
      <c r="C46" s="197"/>
      <c r="D46" s="43">
        <v>0</v>
      </c>
      <c r="E46" s="44">
        <f>+E44*D46</f>
        <v>0</v>
      </c>
      <c r="F46" s="43">
        <v>0</v>
      </c>
      <c r="G46" s="45">
        <f>+G44*F46</f>
        <v>0</v>
      </c>
      <c r="H46" s="43">
        <v>0</v>
      </c>
      <c r="I46" s="45">
        <f>+I44*H46</f>
        <v>0</v>
      </c>
      <c r="J46" s="43">
        <v>0</v>
      </c>
      <c r="K46" s="45">
        <f>+K44*J46</f>
        <v>0</v>
      </c>
      <c r="L46" s="43">
        <v>0</v>
      </c>
      <c r="M46" s="45">
        <f>+M44*L46</f>
        <v>0</v>
      </c>
      <c r="N46" s="43">
        <v>0</v>
      </c>
      <c r="O46" s="45">
        <f>+O44*N46</f>
        <v>0</v>
      </c>
      <c r="P46" s="43">
        <v>0</v>
      </c>
      <c r="Q46" s="45">
        <f>+Q44*P46</f>
        <v>0</v>
      </c>
      <c r="R46" s="46"/>
      <c r="S46" s="45">
        <f>+S44*R46</f>
        <v>0</v>
      </c>
    </row>
    <row r="47" spans="1:23" ht="14.25" customHeight="1" x14ac:dyDescent="0.25">
      <c r="A47" s="47" t="s">
        <v>10</v>
      </c>
      <c r="B47" s="186">
        <v>1</v>
      </c>
      <c r="C47" s="187"/>
      <c r="D47" s="48"/>
      <c r="E47" s="49"/>
      <c r="F47" s="48"/>
      <c r="G47" s="50"/>
      <c r="H47" s="48"/>
      <c r="I47" s="50"/>
      <c r="J47" s="48"/>
      <c r="K47" s="50"/>
      <c r="L47" s="48"/>
      <c r="M47" s="50"/>
      <c r="N47" s="48"/>
      <c r="O47" s="50"/>
      <c r="P47" s="48"/>
      <c r="Q47" s="50"/>
      <c r="R47" s="51"/>
      <c r="S47" s="50"/>
    </row>
    <row r="48" spans="1:23" ht="14.25" customHeight="1" x14ac:dyDescent="0.25">
      <c r="A48" s="47" t="s">
        <v>11</v>
      </c>
      <c r="B48" s="186"/>
      <c r="C48" s="187"/>
      <c r="D48" s="48"/>
      <c r="E48" s="49">
        <f>+E44-E46</f>
        <v>418003.29</v>
      </c>
      <c r="F48" s="48"/>
      <c r="G48" s="50">
        <f>+G44-G46</f>
        <v>429788.05000000005</v>
      </c>
      <c r="H48" s="48"/>
      <c r="I48" s="50">
        <f>+I44-I46</f>
        <v>472215.64610000001</v>
      </c>
      <c r="J48" s="48"/>
      <c r="K48" s="50">
        <f>+K44-K46</f>
        <v>377367.29999999993</v>
      </c>
      <c r="L48" s="48"/>
      <c r="M48" s="50">
        <f>+M44-M46</f>
        <v>0</v>
      </c>
      <c r="N48" s="48"/>
      <c r="O48" s="50">
        <f>+O44-O46</f>
        <v>0</v>
      </c>
      <c r="P48" s="48"/>
      <c r="Q48" s="50">
        <f>+Q44-Q46</f>
        <v>0</v>
      </c>
      <c r="R48" s="51"/>
      <c r="S48" s="50">
        <f>+S44-S46</f>
        <v>352137.66609999991</v>
      </c>
    </row>
    <row r="49" spans="1:19" ht="14.25" customHeight="1" x14ac:dyDescent="0.25">
      <c r="A49" s="47" t="s">
        <v>12</v>
      </c>
      <c r="B49" s="207">
        <v>0.21</v>
      </c>
      <c r="C49" s="187"/>
      <c r="D49" s="48"/>
      <c r="E49" s="49">
        <f>(+E48)*B49</f>
        <v>87780.690899999987</v>
      </c>
      <c r="F49" s="48"/>
      <c r="G49" s="50">
        <f>(+G48)*B49</f>
        <v>90255.4905</v>
      </c>
      <c r="H49" s="48"/>
      <c r="I49" s="50">
        <f>(+I48)*B49</f>
        <v>99165.285680999994</v>
      </c>
      <c r="J49" s="48"/>
      <c r="K49" s="50">
        <f>(+K48)*B49</f>
        <v>79247.132999999987</v>
      </c>
      <c r="L49" s="48"/>
      <c r="M49" s="50">
        <f>(+M48)*B49</f>
        <v>0</v>
      </c>
      <c r="N49" s="48"/>
      <c r="O49" s="50">
        <f>(+O48)*B49</f>
        <v>0</v>
      </c>
      <c r="P49" s="48"/>
      <c r="Q49" s="50">
        <f>(+Q48)*B49</f>
        <v>0</v>
      </c>
      <c r="R49" s="51"/>
      <c r="S49" s="50">
        <f>S48*B49</f>
        <v>73948.909880999985</v>
      </c>
    </row>
    <row r="50" spans="1:19" ht="14.25" customHeight="1" x14ac:dyDescent="0.25">
      <c r="A50" s="52" t="s">
        <v>13</v>
      </c>
      <c r="B50" s="53"/>
      <c r="C50" s="54"/>
      <c r="D50" s="55"/>
      <c r="E50" s="56"/>
      <c r="F50" s="55"/>
      <c r="G50" s="57"/>
      <c r="H50" s="55"/>
      <c r="I50" s="57"/>
      <c r="J50" s="55"/>
      <c r="K50" s="57"/>
      <c r="L50" s="55"/>
      <c r="M50" s="57"/>
      <c r="N50" s="55"/>
      <c r="O50" s="57"/>
      <c r="P50" s="55"/>
      <c r="Q50" s="57"/>
      <c r="R50" s="58"/>
      <c r="S50" s="57"/>
    </row>
    <row r="51" spans="1:19" ht="14.25" customHeight="1" thickBot="1" x14ac:dyDescent="0.3">
      <c r="A51" s="59" t="s">
        <v>14</v>
      </c>
      <c r="B51" s="60"/>
      <c r="C51" s="61"/>
      <c r="D51" s="62"/>
      <c r="E51" s="63"/>
      <c r="F51" s="62"/>
      <c r="G51" s="64"/>
      <c r="H51" s="62"/>
      <c r="I51" s="64"/>
      <c r="J51" s="62"/>
      <c r="K51" s="64"/>
      <c r="L51" s="62"/>
      <c r="M51" s="64"/>
      <c r="N51" s="62"/>
      <c r="O51" s="64"/>
      <c r="P51" s="62"/>
      <c r="Q51" s="64"/>
      <c r="R51" s="65"/>
      <c r="S51" s="64"/>
    </row>
    <row r="52" spans="1:19" ht="14.25" customHeight="1" thickBot="1" x14ac:dyDescent="0.3">
      <c r="A52" s="39"/>
      <c r="B52" s="40"/>
      <c r="C52" s="40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</row>
    <row r="53" spans="1:19" ht="14.25" customHeight="1" thickBot="1" x14ac:dyDescent="0.3">
      <c r="A53" s="66" t="s">
        <v>15</v>
      </c>
      <c r="B53" s="67"/>
      <c r="C53" s="68"/>
      <c r="D53" s="69"/>
      <c r="E53" s="70">
        <f>+E48+E49+E51+E50</f>
        <v>505783.98089999997</v>
      </c>
      <c r="F53" s="71"/>
      <c r="G53" s="70">
        <f>+G48+G49+G51+G50</f>
        <v>520043.54050000006</v>
      </c>
      <c r="H53" s="71"/>
      <c r="I53" s="70">
        <f>+I48+I49+I51+I50</f>
        <v>571380.93178099999</v>
      </c>
      <c r="J53" s="71"/>
      <c r="K53" s="70">
        <f>+K48+K49+K51+K50</f>
        <v>456614.4329999999</v>
      </c>
      <c r="L53" s="71"/>
      <c r="M53" s="70">
        <f>+M48+M49+M51+M50</f>
        <v>0</v>
      </c>
      <c r="N53" s="69"/>
      <c r="O53" s="72">
        <f>+O48+O49+O51+O50</f>
        <v>0</v>
      </c>
      <c r="P53" s="69"/>
      <c r="Q53" s="72">
        <f>+Q48+Q49+Q51+Q50</f>
        <v>0</v>
      </c>
      <c r="R53" s="69"/>
      <c r="S53" s="70">
        <f>SUM(S48:S51)</f>
        <v>426086.57598099991</v>
      </c>
    </row>
    <row r="54" spans="1:19" ht="78.75" customHeight="1" thickBot="1" x14ac:dyDescent="0.3">
      <c r="A54" s="73" t="s">
        <v>16</v>
      </c>
      <c r="B54" s="208"/>
      <c r="C54" s="205"/>
      <c r="D54" s="204" t="s">
        <v>85</v>
      </c>
      <c r="E54" s="205"/>
      <c r="F54" s="209"/>
      <c r="G54" s="205"/>
      <c r="H54" s="209"/>
      <c r="I54" s="205"/>
      <c r="J54" s="209"/>
      <c r="K54" s="205"/>
      <c r="L54" s="209"/>
      <c r="M54" s="205"/>
      <c r="N54" s="204"/>
      <c r="O54" s="205"/>
      <c r="P54" s="204"/>
      <c r="Q54" s="205"/>
      <c r="R54" s="206"/>
      <c r="S54" s="205"/>
    </row>
    <row r="55" spans="1:19" ht="14.25" customHeight="1" x14ac:dyDescent="0.25">
      <c r="J55" s="74"/>
      <c r="L55" s="181"/>
    </row>
    <row r="56" spans="1:19" ht="14.25" customHeight="1" x14ac:dyDescent="0.25">
      <c r="J56" s="75"/>
      <c r="K56" s="76"/>
      <c r="L56" s="182"/>
      <c r="M56" s="76"/>
    </row>
    <row r="57" spans="1:19" ht="14.25" customHeight="1" x14ac:dyDescent="0.25">
      <c r="B57" s="77"/>
      <c r="G57" s="78"/>
      <c r="I57" s="78"/>
      <c r="J57" s="75"/>
      <c r="K57" s="78"/>
      <c r="L57" s="182"/>
      <c r="M57" s="78"/>
      <c r="O57" s="78"/>
      <c r="Q57" s="78"/>
    </row>
    <row r="58" spans="1:19" ht="14.25" customHeight="1" x14ac:dyDescent="0.25">
      <c r="J58" s="75"/>
      <c r="L58" s="182"/>
    </row>
    <row r="59" spans="1:19" ht="14.25" customHeight="1" x14ac:dyDescent="0.25"/>
    <row r="60" spans="1:19" ht="14.25" customHeight="1" x14ac:dyDescent="0.25"/>
    <row r="61" spans="1:19" ht="14.25" customHeight="1" x14ac:dyDescent="0.25"/>
    <row r="62" spans="1:19" ht="14.25" customHeight="1" x14ac:dyDescent="0.25"/>
    <row r="63" spans="1:19" ht="14.25" customHeight="1" x14ac:dyDescent="0.25"/>
    <row r="64" spans="1:1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mergeCells count="28">
    <mergeCell ref="N54:O54"/>
    <mergeCell ref="P54:Q54"/>
    <mergeCell ref="R54:S54"/>
    <mergeCell ref="L55:L58"/>
    <mergeCell ref="B48:C48"/>
    <mergeCell ref="B49:C49"/>
    <mergeCell ref="B54:C54"/>
    <mergeCell ref="D54:E54"/>
    <mergeCell ref="F54:G54"/>
    <mergeCell ref="H54:I54"/>
    <mergeCell ref="J54:K54"/>
    <mergeCell ref="L54:M54"/>
    <mergeCell ref="B47:C47"/>
    <mergeCell ref="A8:S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P10:Q10"/>
    <mergeCell ref="R10:S10"/>
    <mergeCell ref="A43:R43"/>
    <mergeCell ref="B44:C44"/>
    <mergeCell ref="B46:C4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A11" zoomScale="55" zoomScaleNormal="55" workbookViewId="0">
      <pane xSplit="3" topLeftCell="D1" activePane="topRight" state="frozen"/>
      <selection pane="topRight" activeCell="X27" sqref="X27"/>
    </sheetView>
  </sheetViews>
  <sheetFormatPr baseColWidth="10" defaultColWidth="14.42578125" defaultRowHeight="15" x14ac:dyDescent="0.25"/>
  <cols>
    <col min="1" max="1" width="40.28515625" customWidth="1"/>
    <col min="2" max="2" width="6.85546875" customWidth="1"/>
    <col min="3" max="3" width="9" customWidth="1"/>
    <col min="4" max="4" width="14.7109375" customWidth="1"/>
    <col min="5" max="5" width="15.28515625" customWidth="1"/>
    <col min="6" max="6" width="14.7109375" customWidth="1"/>
    <col min="7" max="7" width="15.28515625" customWidth="1"/>
    <col min="8" max="8" width="14.7109375" customWidth="1"/>
    <col min="9" max="9" width="16.28515625" bestFit="1" customWidth="1"/>
    <col min="10" max="10" width="14.7109375" customWidth="1"/>
    <col min="11" max="11" width="15.7109375" customWidth="1"/>
    <col min="12" max="12" width="14.7109375" hidden="1" customWidth="1"/>
    <col min="13" max="13" width="15.7109375" hidden="1" customWidth="1"/>
    <col min="14" max="14" width="14.7109375" hidden="1" customWidth="1"/>
    <col min="15" max="15" width="15.28515625" hidden="1" customWidth="1"/>
    <col min="16" max="16" width="14.7109375" hidden="1" customWidth="1"/>
    <col min="17" max="17" width="15.28515625" hidden="1" customWidth="1"/>
    <col min="18" max="18" width="14.7109375" customWidth="1"/>
    <col min="19" max="19" width="15.28515625" customWidth="1"/>
    <col min="20" max="26" width="10.7109375" customWidth="1"/>
  </cols>
  <sheetData>
    <row r="1" spans="1:19" ht="14.25" customHeight="1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ht="14.25" customHeight="1" x14ac:dyDescent="0.25">
      <c r="A2" s="5" t="s">
        <v>22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ht="14.25" customHeight="1" x14ac:dyDescent="0.25">
      <c r="A3" s="5"/>
      <c r="B3" s="1"/>
      <c r="C3" s="2"/>
      <c r="D3" s="3"/>
      <c r="E3" s="3"/>
      <c r="F3" s="3"/>
      <c r="G3" s="3"/>
      <c r="K3" s="3"/>
      <c r="M3" s="3"/>
      <c r="N3" s="3"/>
      <c r="O3" s="3"/>
      <c r="P3" s="3"/>
      <c r="Q3" s="3"/>
      <c r="R3" s="3"/>
      <c r="S3" s="4"/>
    </row>
    <row r="4" spans="1:19" ht="15.75" x14ac:dyDescent="0.25">
      <c r="A4" s="79" t="s">
        <v>23</v>
      </c>
      <c r="B4" s="6"/>
      <c r="C4" s="7"/>
      <c r="D4" s="6"/>
      <c r="E4" s="6"/>
      <c r="F4" s="6"/>
      <c r="G4" s="6"/>
      <c r="K4" s="6"/>
      <c r="M4" s="6"/>
      <c r="N4" s="6"/>
      <c r="O4" s="6"/>
      <c r="P4" s="6"/>
      <c r="Q4" s="6"/>
      <c r="R4" s="6"/>
      <c r="S4" s="4"/>
    </row>
    <row r="5" spans="1:19" ht="14.25" customHeight="1" x14ac:dyDescent="0.25">
      <c r="A5" s="5" t="s">
        <v>21</v>
      </c>
      <c r="B5" s="1"/>
      <c r="C5" s="2"/>
      <c r="D5" s="3"/>
      <c r="E5" s="3"/>
      <c r="F5" s="3"/>
      <c r="G5" s="3"/>
      <c r="K5" s="3"/>
      <c r="M5" s="3"/>
      <c r="N5" s="3"/>
      <c r="O5" s="3"/>
      <c r="P5" s="3"/>
      <c r="Q5" s="3"/>
      <c r="R5" s="3"/>
      <c r="S5" s="4"/>
    </row>
    <row r="6" spans="1:19" ht="15.75" x14ac:dyDescent="0.25">
      <c r="A6" s="79" t="s">
        <v>24</v>
      </c>
      <c r="B6" s="1"/>
      <c r="C6" s="2"/>
      <c r="D6" s="3"/>
      <c r="E6" s="3"/>
      <c r="F6" s="3"/>
      <c r="G6" s="3"/>
      <c r="K6" s="3"/>
      <c r="M6" s="3"/>
      <c r="N6" s="3"/>
      <c r="O6" s="3"/>
      <c r="P6" s="3"/>
      <c r="Q6" s="3"/>
      <c r="R6" s="3"/>
      <c r="S6" s="4"/>
    </row>
    <row r="7" spans="1:19" ht="14.25" customHeight="1" x14ac:dyDescent="0.25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1:19" ht="14.25" customHeight="1" x14ac:dyDescent="0.25">
      <c r="A8" s="188" t="s">
        <v>0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90"/>
    </row>
    <row r="9" spans="1:19" ht="14.25" customHeight="1" thickBot="1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</row>
    <row r="10" spans="1:19" ht="14.25" customHeight="1" x14ac:dyDescent="0.25">
      <c r="A10" s="191" t="s">
        <v>1</v>
      </c>
      <c r="B10" s="193" t="s">
        <v>2</v>
      </c>
      <c r="C10" s="195" t="s">
        <v>3</v>
      </c>
      <c r="D10" s="196" t="s">
        <v>25</v>
      </c>
      <c r="E10" s="197"/>
      <c r="F10" s="198" t="s">
        <v>44</v>
      </c>
      <c r="G10" s="197"/>
      <c r="H10" s="196" t="s">
        <v>47</v>
      </c>
      <c r="I10" s="199"/>
      <c r="J10" s="198" t="s">
        <v>20</v>
      </c>
      <c r="K10" s="197"/>
      <c r="L10" s="198"/>
      <c r="M10" s="197"/>
      <c r="N10" s="198"/>
      <c r="O10" s="197"/>
      <c r="P10" s="198"/>
      <c r="Q10" s="197"/>
      <c r="R10" s="198" t="s">
        <v>4</v>
      </c>
      <c r="S10" s="197"/>
    </row>
    <row r="11" spans="1:19" ht="14.25" customHeight="1" thickBot="1" x14ac:dyDescent="0.3">
      <c r="A11" s="192"/>
      <c r="B11" s="194"/>
      <c r="C11" s="194"/>
      <c r="D11" s="8" t="s">
        <v>5</v>
      </c>
      <c r="E11" s="9" t="s">
        <v>6</v>
      </c>
      <c r="F11" s="10" t="s">
        <v>5</v>
      </c>
      <c r="G11" s="9" t="s">
        <v>6</v>
      </c>
      <c r="H11" s="8" t="s">
        <v>5</v>
      </c>
      <c r="I11" s="11" t="s">
        <v>6</v>
      </c>
      <c r="J11" s="10" t="s">
        <v>5</v>
      </c>
      <c r="K11" s="9" t="s">
        <v>6</v>
      </c>
      <c r="L11" s="10" t="s">
        <v>5</v>
      </c>
      <c r="M11" s="9" t="s">
        <v>6</v>
      </c>
      <c r="N11" s="10" t="s">
        <v>5</v>
      </c>
      <c r="O11" s="9" t="s">
        <v>6</v>
      </c>
      <c r="P11" s="10" t="s">
        <v>5</v>
      </c>
      <c r="Q11" s="9" t="s">
        <v>6</v>
      </c>
      <c r="R11" s="10" t="s">
        <v>5</v>
      </c>
      <c r="S11" s="9" t="s">
        <v>6</v>
      </c>
    </row>
    <row r="12" spans="1:19" ht="14.25" customHeight="1" x14ac:dyDescent="0.25">
      <c r="A12" s="12" t="s">
        <v>26</v>
      </c>
      <c r="B12" s="13" t="s">
        <v>41</v>
      </c>
      <c r="C12" s="14">
        <v>299</v>
      </c>
      <c r="D12" s="15">
        <f>6074.94/1.21</f>
        <v>5020.6115702479337</v>
      </c>
      <c r="E12" s="16">
        <f t="shared" ref="E12:E47" si="0">C12*D12</f>
        <v>1501162.8595041323</v>
      </c>
      <c r="F12" s="17">
        <f>5850/1.21</f>
        <v>4834.7107438016528</v>
      </c>
      <c r="G12" s="18">
        <f t="shared" ref="G12:G47" si="1">C12*F12</f>
        <v>1445578.5123966942</v>
      </c>
      <c r="H12" s="15">
        <f>6719.99/1.21</f>
        <v>5553.7107438016528</v>
      </c>
      <c r="I12" s="19">
        <f t="shared" ref="I12:I47" si="2">C12*H12</f>
        <v>1660559.5123966942</v>
      </c>
      <c r="J12" s="17">
        <f>5395.68/1.21</f>
        <v>4459.2396694214876</v>
      </c>
      <c r="K12" s="18">
        <f t="shared" ref="K12:K48" si="3">C12*J12</f>
        <v>1333312.6611570248</v>
      </c>
      <c r="L12" s="17"/>
      <c r="M12" s="18">
        <f t="shared" ref="M12:M48" si="4">C12*L12</f>
        <v>0</v>
      </c>
      <c r="N12" s="17"/>
      <c r="O12" s="18">
        <f t="shared" ref="O12:O48" si="5">C12*N12</f>
        <v>0</v>
      </c>
      <c r="P12" s="17"/>
      <c r="Q12" s="18">
        <f t="shared" ref="Q12:Q48" si="6">C12*P12</f>
        <v>0</v>
      </c>
      <c r="R12" s="20">
        <f t="shared" ref="R12:R48" si="7">MIN(D12,F12,H12,J12,N12,L12,P12)</f>
        <v>4459.2396694214876</v>
      </c>
      <c r="S12" s="21">
        <f t="shared" ref="S12:S48" si="8">R12*C12</f>
        <v>1333312.6611570248</v>
      </c>
    </row>
    <row r="13" spans="1:19" ht="14.25" customHeight="1" x14ac:dyDescent="0.25">
      <c r="A13" s="12" t="s">
        <v>27</v>
      </c>
      <c r="B13" s="13" t="s">
        <v>39</v>
      </c>
      <c r="C13" s="14">
        <v>34</v>
      </c>
      <c r="D13" s="15">
        <f>24205.99/1.21</f>
        <v>20004.950413223141</v>
      </c>
      <c r="E13" s="16">
        <f t="shared" si="0"/>
        <v>680168.31404958677</v>
      </c>
      <c r="F13" s="17">
        <f>30400/1.21</f>
        <v>25123.96694214876</v>
      </c>
      <c r="G13" s="18">
        <f t="shared" si="1"/>
        <v>854214.87603305781</v>
      </c>
      <c r="H13" s="17">
        <f>26766.99/1.21</f>
        <v>22121.479338842979</v>
      </c>
      <c r="I13" s="19">
        <f t="shared" si="2"/>
        <v>752130.29752066126</v>
      </c>
      <c r="J13" s="17">
        <f>30720.57/1.21</f>
        <v>25388.900826446283</v>
      </c>
      <c r="K13" s="18">
        <f t="shared" si="3"/>
        <v>863222.62809917366</v>
      </c>
      <c r="L13" s="17"/>
      <c r="M13" s="18">
        <f t="shared" si="4"/>
        <v>0</v>
      </c>
      <c r="N13" s="17"/>
      <c r="O13" s="18">
        <f t="shared" si="5"/>
        <v>0</v>
      </c>
      <c r="P13" s="17"/>
      <c r="Q13" s="18">
        <f t="shared" si="6"/>
        <v>0</v>
      </c>
      <c r="R13" s="20">
        <f t="shared" si="7"/>
        <v>20004.950413223141</v>
      </c>
      <c r="S13" s="21">
        <f t="shared" si="8"/>
        <v>680168.31404958677</v>
      </c>
    </row>
    <row r="14" spans="1:19" ht="14.25" customHeight="1" x14ac:dyDescent="0.25">
      <c r="A14" s="12" t="s">
        <v>17</v>
      </c>
      <c r="B14" s="13" t="s">
        <v>40</v>
      </c>
      <c r="C14" s="14">
        <v>220</v>
      </c>
      <c r="D14" s="15">
        <f>23827.15/20/1.21</f>
        <v>984.59297520661164</v>
      </c>
      <c r="E14" s="16">
        <f t="shared" si="0"/>
        <v>216610.45454545456</v>
      </c>
      <c r="F14" s="17">
        <f>29640/1.21/20</f>
        <v>1224.7933884297522</v>
      </c>
      <c r="G14" s="18">
        <f t="shared" si="1"/>
        <v>269454.54545454547</v>
      </c>
      <c r="H14" s="17">
        <f>29693.33/20/1.21</f>
        <v>1226.9971074380167</v>
      </c>
      <c r="I14" s="19">
        <f t="shared" si="2"/>
        <v>269939.36363636365</v>
      </c>
      <c r="J14" s="17">
        <f>157830.52/1.21/200</f>
        <v>652.19223140495865</v>
      </c>
      <c r="K14" s="18">
        <f t="shared" si="3"/>
        <v>143482.29090909089</v>
      </c>
      <c r="L14" s="17"/>
      <c r="M14" s="18">
        <f t="shared" si="4"/>
        <v>0</v>
      </c>
      <c r="N14" s="17"/>
      <c r="O14" s="18">
        <f t="shared" si="5"/>
        <v>0</v>
      </c>
      <c r="P14" s="17"/>
      <c r="Q14" s="18">
        <f t="shared" si="6"/>
        <v>0</v>
      </c>
      <c r="R14" s="20">
        <f t="shared" si="7"/>
        <v>652.19223140495865</v>
      </c>
      <c r="S14" s="21">
        <f t="shared" si="8"/>
        <v>143482.29090909089</v>
      </c>
    </row>
    <row r="15" spans="1:19" ht="14.25" customHeight="1" x14ac:dyDescent="0.25">
      <c r="A15" s="12" t="s">
        <v>28</v>
      </c>
      <c r="B15" s="13" t="s">
        <v>39</v>
      </c>
      <c r="C15" s="14">
        <v>36</v>
      </c>
      <c r="D15" s="15"/>
      <c r="E15" s="16">
        <f t="shared" si="0"/>
        <v>0</v>
      </c>
      <c r="F15" s="17"/>
      <c r="G15" s="18">
        <f t="shared" si="1"/>
        <v>0</v>
      </c>
      <c r="H15" s="17"/>
      <c r="I15" s="19">
        <f t="shared" si="2"/>
        <v>0</v>
      </c>
      <c r="J15" s="17"/>
      <c r="K15" s="18">
        <f t="shared" si="3"/>
        <v>0</v>
      </c>
      <c r="L15" s="17"/>
      <c r="M15" s="18">
        <f t="shared" si="4"/>
        <v>0</v>
      </c>
      <c r="N15" s="17"/>
      <c r="O15" s="18">
        <f t="shared" si="5"/>
        <v>0</v>
      </c>
      <c r="P15" s="17"/>
      <c r="Q15" s="18">
        <f t="shared" si="6"/>
        <v>0</v>
      </c>
      <c r="R15" s="20">
        <f t="shared" si="7"/>
        <v>0</v>
      </c>
      <c r="S15" s="21">
        <f t="shared" si="8"/>
        <v>0</v>
      </c>
    </row>
    <row r="16" spans="1:19" ht="14.25" customHeight="1" x14ac:dyDescent="0.25">
      <c r="A16" s="12" t="s">
        <v>29</v>
      </c>
      <c r="B16" s="13" t="s">
        <v>41</v>
      </c>
      <c r="C16" s="14">
        <v>237</v>
      </c>
      <c r="D16" s="15">
        <f>8521.97/1.21</f>
        <v>7042.9504132231405</v>
      </c>
      <c r="E16" s="16">
        <f t="shared" si="0"/>
        <v>1669179.2479338844</v>
      </c>
      <c r="F16" s="17">
        <f>7440/1.21</f>
        <v>6148.7603305785124</v>
      </c>
      <c r="G16" s="18">
        <f t="shared" si="1"/>
        <v>1457256.1983471075</v>
      </c>
      <c r="H16" s="17">
        <f>7600.72/1.21</f>
        <v>6281.5867768595044</v>
      </c>
      <c r="I16" s="19">
        <f t="shared" si="2"/>
        <v>1488736.0661157025</v>
      </c>
      <c r="J16" s="17">
        <v>5484.3</v>
      </c>
      <c r="K16" s="18">
        <f t="shared" si="3"/>
        <v>1299779.1000000001</v>
      </c>
      <c r="L16" s="17"/>
      <c r="M16" s="18">
        <f t="shared" si="4"/>
        <v>0</v>
      </c>
      <c r="N16" s="17"/>
      <c r="O16" s="18">
        <f t="shared" si="5"/>
        <v>0</v>
      </c>
      <c r="P16" s="17"/>
      <c r="Q16" s="18">
        <f t="shared" si="6"/>
        <v>0</v>
      </c>
      <c r="R16" s="20">
        <f t="shared" si="7"/>
        <v>5484.3</v>
      </c>
      <c r="S16" s="21">
        <f t="shared" si="8"/>
        <v>1299779.1000000001</v>
      </c>
    </row>
    <row r="17" spans="1:19" ht="14.25" customHeight="1" x14ac:dyDescent="0.25">
      <c r="A17" s="22" t="s">
        <v>30</v>
      </c>
      <c r="B17" s="13" t="s">
        <v>41</v>
      </c>
      <c r="C17" s="14">
        <v>2</v>
      </c>
      <c r="D17" s="15">
        <f>80742.31/2/1.21</f>
        <v>33364.590909090912</v>
      </c>
      <c r="E17" s="16">
        <f t="shared" si="0"/>
        <v>66729.181818181823</v>
      </c>
      <c r="F17" s="17">
        <f>4300/1.21*50</f>
        <v>177685.95041322315</v>
      </c>
      <c r="G17" s="18">
        <f t="shared" si="1"/>
        <v>355371.9008264463</v>
      </c>
      <c r="H17" s="17">
        <f>1359.64/1.21*50</f>
        <v>56183.47107438017</v>
      </c>
      <c r="I17" s="19">
        <f t="shared" si="2"/>
        <v>112366.94214876034</v>
      </c>
      <c r="J17" s="17"/>
      <c r="K17" s="18">
        <f t="shared" si="3"/>
        <v>0</v>
      </c>
      <c r="L17" s="17"/>
      <c r="M17" s="18">
        <f t="shared" si="4"/>
        <v>0</v>
      </c>
      <c r="N17" s="17"/>
      <c r="O17" s="18">
        <f t="shared" si="5"/>
        <v>0</v>
      </c>
      <c r="P17" s="17"/>
      <c r="Q17" s="18">
        <f t="shared" si="6"/>
        <v>0</v>
      </c>
      <c r="R17" s="20">
        <f t="shared" si="7"/>
        <v>33364.590909090912</v>
      </c>
      <c r="S17" s="21">
        <f t="shared" si="8"/>
        <v>66729.181818181823</v>
      </c>
    </row>
    <row r="18" spans="1:19" ht="14.25" customHeight="1" x14ac:dyDescent="0.25">
      <c r="A18" s="80" t="s">
        <v>31</v>
      </c>
      <c r="B18" s="13" t="s">
        <v>40</v>
      </c>
      <c r="C18" s="14">
        <v>1888</v>
      </c>
      <c r="D18" s="15"/>
      <c r="E18" s="16">
        <f t="shared" si="0"/>
        <v>0</v>
      </c>
      <c r="F18" s="17"/>
      <c r="G18" s="18">
        <f t="shared" si="1"/>
        <v>0</v>
      </c>
      <c r="H18" s="17"/>
      <c r="I18" s="19">
        <f t="shared" si="2"/>
        <v>0</v>
      </c>
      <c r="J18" s="17"/>
      <c r="K18" s="18">
        <f t="shared" si="3"/>
        <v>0</v>
      </c>
      <c r="L18" s="17"/>
      <c r="M18" s="18">
        <f t="shared" si="4"/>
        <v>0</v>
      </c>
      <c r="N18" s="17"/>
      <c r="O18" s="18">
        <f t="shared" si="5"/>
        <v>0</v>
      </c>
      <c r="P18" s="17"/>
      <c r="Q18" s="18">
        <f t="shared" si="6"/>
        <v>0</v>
      </c>
      <c r="R18" s="20">
        <f t="shared" si="7"/>
        <v>0</v>
      </c>
      <c r="S18" s="21">
        <f t="shared" si="8"/>
        <v>0</v>
      </c>
    </row>
    <row r="19" spans="1:19" ht="14.25" customHeight="1" x14ac:dyDescent="0.25">
      <c r="A19" s="23" t="s">
        <v>32</v>
      </c>
      <c r="B19" s="13" t="s">
        <v>19</v>
      </c>
      <c r="C19" s="14">
        <v>9</v>
      </c>
      <c r="D19" s="15">
        <f>6171.56/1.21</f>
        <v>5100.462809917356</v>
      </c>
      <c r="E19" s="16">
        <f t="shared" si="0"/>
        <v>45904.165289256205</v>
      </c>
      <c r="F19" s="17">
        <f>5760/1.21</f>
        <v>4760.3305785123966</v>
      </c>
      <c r="G19" s="18">
        <f t="shared" si="1"/>
        <v>42842.975206611569</v>
      </c>
      <c r="H19" s="17">
        <f>6947.86/1.21</f>
        <v>5742.0330578512394</v>
      </c>
      <c r="I19" s="19">
        <f t="shared" si="2"/>
        <v>51678.297520661152</v>
      </c>
      <c r="J19" s="17">
        <f>11035.4/1.21</f>
        <v>9120.1652892561979</v>
      </c>
      <c r="K19" s="18">
        <f t="shared" si="3"/>
        <v>82081.487603305781</v>
      </c>
      <c r="L19" s="17"/>
      <c r="M19" s="18">
        <f t="shared" si="4"/>
        <v>0</v>
      </c>
      <c r="N19" s="17"/>
      <c r="O19" s="18">
        <f t="shared" si="5"/>
        <v>0</v>
      </c>
      <c r="P19" s="17"/>
      <c r="Q19" s="18">
        <f t="shared" si="6"/>
        <v>0</v>
      </c>
      <c r="R19" s="20">
        <f t="shared" si="7"/>
        <v>4760.3305785123966</v>
      </c>
      <c r="S19" s="21">
        <f t="shared" si="8"/>
        <v>42842.975206611569</v>
      </c>
    </row>
    <row r="20" spans="1:19" ht="14.25" customHeight="1" x14ac:dyDescent="0.25">
      <c r="A20" s="23" t="s">
        <v>33</v>
      </c>
      <c r="B20" s="13" t="s">
        <v>39</v>
      </c>
      <c r="C20" s="14">
        <v>11</v>
      </c>
      <c r="D20" s="15">
        <f>61807/1.21</f>
        <v>51080.165289256198</v>
      </c>
      <c r="E20" s="16">
        <f t="shared" si="0"/>
        <v>561881.81818181812</v>
      </c>
      <c r="F20" s="17">
        <f>53760/1.21</f>
        <v>44429.752066115703</v>
      </c>
      <c r="G20" s="18">
        <f t="shared" si="1"/>
        <v>488727.27272727271</v>
      </c>
      <c r="H20" s="17">
        <f>61419.25/1.21</f>
        <v>50759.710743801654</v>
      </c>
      <c r="I20" s="19">
        <f t="shared" si="2"/>
        <v>558356.81818181823</v>
      </c>
      <c r="J20" s="17">
        <f>57330.01/1.21</f>
        <v>47380.173553719011</v>
      </c>
      <c r="K20" s="18">
        <f t="shared" si="3"/>
        <v>521181.90909090912</v>
      </c>
      <c r="L20" s="17"/>
      <c r="M20" s="18">
        <f t="shared" si="4"/>
        <v>0</v>
      </c>
      <c r="N20" s="17"/>
      <c r="O20" s="18">
        <f t="shared" si="5"/>
        <v>0</v>
      </c>
      <c r="P20" s="17"/>
      <c r="Q20" s="18">
        <f t="shared" si="6"/>
        <v>0</v>
      </c>
      <c r="R20" s="20">
        <f t="shared" si="7"/>
        <v>44429.752066115703</v>
      </c>
      <c r="S20" s="21">
        <f t="shared" si="8"/>
        <v>488727.27272727271</v>
      </c>
    </row>
    <row r="21" spans="1:19" ht="14.25" customHeight="1" x14ac:dyDescent="0.25">
      <c r="A21" s="23" t="s">
        <v>34</v>
      </c>
      <c r="B21" s="13" t="s">
        <v>39</v>
      </c>
      <c r="C21" s="14">
        <v>7</v>
      </c>
      <c r="D21" s="15">
        <f>47880.01/1.21</f>
        <v>39570.25619834711</v>
      </c>
      <c r="E21" s="16">
        <f t="shared" si="0"/>
        <v>276991.7933884298</v>
      </c>
      <c r="F21" s="17">
        <f>49280/1.21</f>
        <v>40727.272727272728</v>
      </c>
      <c r="G21" s="18">
        <f t="shared" si="1"/>
        <v>285090.90909090912</v>
      </c>
      <c r="H21" s="17">
        <f>40535.16/1.21</f>
        <v>33500.132231404961</v>
      </c>
      <c r="I21" s="19">
        <f t="shared" si="2"/>
        <v>234500.92561983474</v>
      </c>
      <c r="J21" s="17">
        <f>60989.38/1.21</f>
        <v>50404.446280991731</v>
      </c>
      <c r="K21" s="18">
        <f t="shared" si="3"/>
        <v>352831.12396694213</v>
      </c>
      <c r="L21" s="17"/>
      <c r="M21" s="18">
        <f t="shared" si="4"/>
        <v>0</v>
      </c>
      <c r="N21" s="17"/>
      <c r="O21" s="18">
        <f t="shared" si="5"/>
        <v>0</v>
      </c>
      <c r="P21" s="17"/>
      <c r="Q21" s="18">
        <f t="shared" si="6"/>
        <v>0</v>
      </c>
      <c r="R21" s="20">
        <f t="shared" si="7"/>
        <v>33500.132231404961</v>
      </c>
      <c r="S21" s="21">
        <f t="shared" si="8"/>
        <v>234500.92561983474</v>
      </c>
    </row>
    <row r="22" spans="1:19" ht="14.25" customHeight="1" x14ac:dyDescent="0.25">
      <c r="A22" s="23" t="s">
        <v>18</v>
      </c>
      <c r="B22" s="13" t="s">
        <v>41</v>
      </c>
      <c r="C22" s="14">
        <v>3900</v>
      </c>
      <c r="D22" s="15">
        <f>205.23/1.21</f>
        <v>169.61157024793388</v>
      </c>
      <c r="E22" s="16">
        <f t="shared" si="0"/>
        <v>661485.12396694219</v>
      </c>
      <c r="F22" s="17">
        <f>240/1.21</f>
        <v>198.34710743801654</v>
      </c>
      <c r="G22" s="18">
        <f t="shared" si="1"/>
        <v>773553.71900826448</v>
      </c>
      <c r="H22" s="17">
        <f>318.64/1.21</f>
        <v>263.3388429752066</v>
      </c>
      <c r="I22" s="19">
        <f t="shared" si="2"/>
        <v>1027021.4876033057</v>
      </c>
      <c r="J22" s="17">
        <f>179.24/1.21</f>
        <v>148.1322314049587</v>
      </c>
      <c r="K22" s="18">
        <f t="shared" si="3"/>
        <v>577715.70247933897</v>
      </c>
      <c r="L22" s="17"/>
      <c r="M22" s="18">
        <f t="shared" si="4"/>
        <v>0</v>
      </c>
      <c r="N22" s="17"/>
      <c r="O22" s="18">
        <f t="shared" si="5"/>
        <v>0</v>
      </c>
      <c r="P22" s="17"/>
      <c r="Q22" s="18">
        <f t="shared" si="6"/>
        <v>0</v>
      </c>
      <c r="R22" s="20">
        <f t="shared" si="7"/>
        <v>148.1322314049587</v>
      </c>
      <c r="S22" s="21">
        <f t="shared" si="8"/>
        <v>577715.70247933897</v>
      </c>
    </row>
    <row r="23" spans="1:19" ht="14.25" customHeight="1" x14ac:dyDescent="0.25">
      <c r="A23" s="23" t="s">
        <v>35</v>
      </c>
      <c r="B23" s="13" t="s">
        <v>41</v>
      </c>
      <c r="C23" s="14">
        <v>15</v>
      </c>
      <c r="D23" s="15">
        <f>449811.6/1.21/12*6</f>
        <v>185872.56198347107</v>
      </c>
      <c r="E23" s="16">
        <f t="shared" si="0"/>
        <v>2788088.4297520658</v>
      </c>
      <c r="F23" s="17">
        <f>51860/1.21*6</f>
        <v>257157.02479338844</v>
      </c>
      <c r="G23" s="18">
        <f t="shared" si="1"/>
        <v>3857355.3719008267</v>
      </c>
      <c r="H23" s="17"/>
      <c r="I23" s="19">
        <f t="shared" si="2"/>
        <v>0</v>
      </c>
      <c r="J23" s="17">
        <f>587800.36/1.21/12*6</f>
        <v>242892.71074380167</v>
      </c>
      <c r="K23" s="18">
        <f t="shared" si="3"/>
        <v>3643390.661157025</v>
      </c>
      <c r="L23" s="17"/>
      <c r="M23" s="18">
        <f t="shared" si="4"/>
        <v>0</v>
      </c>
      <c r="N23" s="17"/>
      <c r="O23" s="18">
        <f t="shared" si="5"/>
        <v>0</v>
      </c>
      <c r="P23" s="17"/>
      <c r="Q23" s="18">
        <f t="shared" si="6"/>
        <v>0</v>
      </c>
      <c r="R23" s="20">
        <f t="shared" si="7"/>
        <v>185872.56198347107</v>
      </c>
      <c r="S23" s="21">
        <f t="shared" si="8"/>
        <v>2788088.4297520658</v>
      </c>
    </row>
    <row r="24" spans="1:19" ht="14.25" customHeight="1" x14ac:dyDescent="0.25">
      <c r="A24" s="23" t="s">
        <v>36</v>
      </c>
      <c r="B24" s="13" t="s">
        <v>42</v>
      </c>
      <c r="C24" s="14">
        <v>92</v>
      </c>
      <c r="D24" s="15">
        <f>3735.91/1.21</f>
        <v>3087.5289256198348</v>
      </c>
      <c r="E24" s="16">
        <f t="shared" si="0"/>
        <v>284052.66115702479</v>
      </c>
      <c r="F24" s="17"/>
      <c r="G24" s="18">
        <f t="shared" si="1"/>
        <v>0</v>
      </c>
      <c r="H24" s="17"/>
      <c r="I24" s="19">
        <f t="shared" si="2"/>
        <v>0</v>
      </c>
      <c r="J24" s="17"/>
      <c r="K24" s="18">
        <f t="shared" si="3"/>
        <v>0</v>
      </c>
      <c r="L24" s="17"/>
      <c r="M24" s="18">
        <f t="shared" si="4"/>
        <v>0</v>
      </c>
      <c r="N24" s="17"/>
      <c r="O24" s="18">
        <f t="shared" si="5"/>
        <v>0</v>
      </c>
      <c r="P24" s="17"/>
      <c r="Q24" s="18">
        <f t="shared" si="6"/>
        <v>0</v>
      </c>
      <c r="R24" s="20">
        <f t="shared" si="7"/>
        <v>3087.5289256198348</v>
      </c>
      <c r="S24" s="21">
        <f t="shared" si="8"/>
        <v>284052.66115702479</v>
      </c>
    </row>
    <row r="25" spans="1:19" ht="14.25" customHeight="1" x14ac:dyDescent="0.25">
      <c r="A25" s="23" t="s">
        <v>37</v>
      </c>
      <c r="B25" s="13" t="s">
        <v>41</v>
      </c>
      <c r="C25" s="14">
        <v>5</v>
      </c>
      <c r="D25" s="15">
        <f>37447.9/1.21</f>
        <v>30948.677685950417</v>
      </c>
      <c r="E25" s="16">
        <f t="shared" si="0"/>
        <v>154743.38842975209</v>
      </c>
      <c r="F25" s="17">
        <f>25320/1.21</f>
        <v>20925.619834710746</v>
      </c>
      <c r="G25" s="18">
        <f t="shared" si="1"/>
        <v>104628.09917355372</v>
      </c>
      <c r="H25" s="17">
        <f>26398.77/1.21</f>
        <v>21817.165289256198</v>
      </c>
      <c r="I25" s="19">
        <f t="shared" si="2"/>
        <v>109085.82644628099</v>
      </c>
      <c r="J25" s="17">
        <f>33343.45/1.21</f>
        <v>27556.570247933883</v>
      </c>
      <c r="K25" s="18">
        <f t="shared" si="3"/>
        <v>137782.85123966943</v>
      </c>
      <c r="L25" s="17"/>
      <c r="M25" s="18">
        <f t="shared" si="4"/>
        <v>0</v>
      </c>
      <c r="N25" s="17"/>
      <c r="O25" s="18">
        <f t="shared" si="5"/>
        <v>0</v>
      </c>
      <c r="P25" s="17"/>
      <c r="Q25" s="18">
        <f t="shared" si="6"/>
        <v>0</v>
      </c>
      <c r="R25" s="20">
        <f t="shared" si="7"/>
        <v>20925.619834710746</v>
      </c>
      <c r="S25" s="21">
        <f t="shared" si="8"/>
        <v>104628.09917355372</v>
      </c>
    </row>
    <row r="26" spans="1:19" ht="14.25" customHeight="1" x14ac:dyDescent="0.25">
      <c r="A26" s="23" t="s">
        <v>38</v>
      </c>
      <c r="B26" s="13" t="s">
        <v>41</v>
      </c>
      <c r="C26" s="14">
        <v>4</v>
      </c>
      <c r="D26" s="15">
        <f>191111.7/1.21</f>
        <v>157943.55371900828</v>
      </c>
      <c r="E26" s="16">
        <f t="shared" si="0"/>
        <v>631774.21487603313</v>
      </c>
      <c r="F26" s="17">
        <f>146636/1.21</f>
        <v>121186.77685950414</v>
      </c>
      <c r="G26" s="18">
        <f t="shared" si="1"/>
        <v>484747.10743801657</v>
      </c>
      <c r="H26" s="17">
        <f>111301.65/1.21</f>
        <v>91984.834710743802</v>
      </c>
      <c r="I26" s="19">
        <f t="shared" si="2"/>
        <v>367939.33884297521</v>
      </c>
      <c r="J26" s="17"/>
      <c r="K26" s="18">
        <f t="shared" si="3"/>
        <v>0</v>
      </c>
      <c r="L26" s="17"/>
      <c r="M26" s="18">
        <f t="shared" si="4"/>
        <v>0</v>
      </c>
      <c r="N26" s="17"/>
      <c r="O26" s="18">
        <f t="shared" si="5"/>
        <v>0</v>
      </c>
      <c r="P26" s="17"/>
      <c r="Q26" s="18">
        <f t="shared" si="6"/>
        <v>0</v>
      </c>
      <c r="R26" s="20">
        <f t="shared" si="7"/>
        <v>91984.834710743802</v>
      </c>
      <c r="S26" s="21">
        <f t="shared" si="8"/>
        <v>367939.33884297521</v>
      </c>
    </row>
    <row r="27" spans="1:19" ht="14.25" customHeight="1" x14ac:dyDescent="0.25">
      <c r="A27" s="23"/>
      <c r="B27" s="13"/>
      <c r="C27" s="14"/>
      <c r="D27" s="15"/>
      <c r="E27" s="16">
        <f t="shared" si="0"/>
        <v>0</v>
      </c>
      <c r="F27" s="17"/>
      <c r="G27" s="18">
        <f t="shared" si="1"/>
        <v>0</v>
      </c>
      <c r="H27" s="17"/>
      <c r="I27" s="19">
        <f t="shared" si="2"/>
        <v>0</v>
      </c>
      <c r="J27" s="17"/>
      <c r="K27" s="18">
        <f t="shared" si="3"/>
        <v>0</v>
      </c>
      <c r="L27" s="17"/>
      <c r="M27" s="18">
        <f t="shared" si="4"/>
        <v>0</v>
      </c>
      <c r="N27" s="17"/>
      <c r="O27" s="18">
        <f t="shared" si="5"/>
        <v>0</v>
      </c>
      <c r="P27" s="17"/>
      <c r="Q27" s="18">
        <f t="shared" si="6"/>
        <v>0</v>
      </c>
      <c r="R27" s="20">
        <f t="shared" si="7"/>
        <v>0</v>
      </c>
      <c r="S27" s="21">
        <f t="shared" si="8"/>
        <v>0</v>
      </c>
    </row>
    <row r="28" spans="1:19" ht="14.25" customHeight="1" x14ac:dyDescent="0.25">
      <c r="A28" s="23" t="s">
        <v>43</v>
      </c>
      <c r="B28" s="13" t="s">
        <v>41</v>
      </c>
      <c r="C28" s="14">
        <v>4</v>
      </c>
      <c r="D28" s="15">
        <f>27982.34/1.21</f>
        <v>23125.900826446283</v>
      </c>
      <c r="E28" s="16">
        <f t="shared" si="0"/>
        <v>92503.603305785131</v>
      </c>
      <c r="F28" s="17"/>
      <c r="G28" s="18">
        <f t="shared" si="1"/>
        <v>0</v>
      </c>
      <c r="H28" s="17"/>
      <c r="I28" s="19">
        <f t="shared" si="2"/>
        <v>0</v>
      </c>
      <c r="J28" s="17"/>
      <c r="K28" s="18">
        <f t="shared" si="3"/>
        <v>0</v>
      </c>
      <c r="L28" s="17"/>
      <c r="M28" s="18">
        <f t="shared" si="4"/>
        <v>0</v>
      </c>
      <c r="N28" s="17"/>
      <c r="O28" s="18">
        <f t="shared" si="5"/>
        <v>0</v>
      </c>
      <c r="P28" s="17"/>
      <c r="Q28" s="18">
        <f t="shared" si="6"/>
        <v>0</v>
      </c>
      <c r="R28" s="20">
        <f t="shared" si="7"/>
        <v>23125.900826446283</v>
      </c>
      <c r="S28" s="21">
        <f t="shared" si="8"/>
        <v>92503.603305785131</v>
      </c>
    </row>
    <row r="29" spans="1:19" ht="14.25" customHeight="1" x14ac:dyDescent="0.25">
      <c r="A29" s="23"/>
      <c r="B29" s="13"/>
      <c r="C29" s="14"/>
      <c r="D29" s="15"/>
      <c r="E29" s="16">
        <f t="shared" si="0"/>
        <v>0</v>
      </c>
      <c r="F29" s="17"/>
      <c r="G29" s="18">
        <f t="shared" si="1"/>
        <v>0</v>
      </c>
      <c r="H29" s="17"/>
      <c r="I29" s="19">
        <f t="shared" si="2"/>
        <v>0</v>
      </c>
      <c r="J29" s="17"/>
      <c r="K29" s="18">
        <f t="shared" si="3"/>
        <v>0</v>
      </c>
      <c r="L29" s="17"/>
      <c r="M29" s="18">
        <f t="shared" si="4"/>
        <v>0</v>
      </c>
      <c r="N29" s="17"/>
      <c r="O29" s="18">
        <f t="shared" si="5"/>
        <v>0</v>
      </c>
      <c r="P29" s="17"/>
      <c r="Q29" s="18">
        <f t="shared" si="6"/>
        <v>0</v>
      </c>
      <c r="R29" s="20">
        <f t="shared" si="7"/>
        <v>0</v>
      </c>
      <c r="S29" s="21">
        <f t="shared" si="8"/>
        <v>0</v>
      </c>
    </row>
    <row r="30" spans="1:19" ht="14.25" customHeight="1" x14ac:dyDescent="0.25">
      <c r="A30" s="12"/>
      <c r="B30" s="13"/>
      <c r="C30" s="14"/>
      <c r="D30" s="15"/>
      <c r="E30" s="16">
        <f t="shared" si="0"/>
        <v>0</v>
      </c>
      <c r="F30" s="17"/>
      <c r="G30" s="18">
        <f t="shared" si="1"/>
        <v>0</v>
      </c>
      <c r="H30" s="17"/>
      <c r="I30" s="19">
        <f t="shared" si="2"/>
        <v>0</v>
      </c>
      <c r="J30" s="17"/>
      <c r="K30" s="18"/>
      <c r="L30" s="17"/>
      <c r="M30" s="18">
        <f t="shared" si="4"/>
        <v>0</v>
      </c>
      <c r="N30" s="17"/>
      <c r="O30" s="18">
        <f t="shared" si="5"/>
        <v>0</v>
      </c>
      <c r="P30" s="17"/>
      <c r="Q30" s="18">
        <f t="shared" si="6"/>
        <v>0</v>
      </c>
      <c r="R30" s="20">
        <f t="shared" si="7"/>
        <v>0</v>
      </c>
      <c r="S30" s="21">
        <f t="shared" si="8"/>
        <v>0</v>
      </c>
    </row>
    <row r="31" spans="1:19" ht="14.25" customHeight="1" x14ac:dyDescent="0.25">
      <c r="A31" s="12"/>
      <c r="B31" s="13"/>
      <c r="C31" s="14"/>
      <c r="D31" s="15"/>
      <c r="E31" s="16">
        <f t="shared" si="0"/>
        <v>0</v>
      </c>
      <c r="F31" s="17"/>
      <c r="G31" s="18">
        <f t="shared" si="1"/>
        <v>0</v>
      </c>
      <c r="H31" s="17"/>
      <c r="I31" s="19">
        <f t="shared" si="2"/>
        <v>0</v>
      </c>
      <c r="J31" s="17"/>
      <c r="K31" s="18">
        <f t="shared" si="3"/>
        <v>0</v>
      </c>
      <c r="L31" s="17"/>
      <c r="M31" s="18">
        <f t="shared" si="4"/>
        <v>0</v>
      </c>
      <c r="N31" s="17"/>
      <c r="O31" s="18">
        <f t="shared" si="5"/>
        <v>0</v>
      </c>
      <c r="P31" s="17"/>
      <c r="Q31" s="18">
        <f t="shared" si="6"/>
        <v>0</v>
      </c>
      <c r="R31" s="20">
        <f t="shared" si="7"/>
        <v>0</v>
      </c>
      <c r="S31" s="21">
        <f t="shared" si="8"/>
        <v>0</v>
      </c>
    </row>
    <row r="32" spans="1:19" ht="14.25" customHeight="1" x14ac:dyDescent="0.25">
      <c r="A32" s="12"/>
      <c r="B32" s="13"/>
      <c r="C32" s="14"/>
      <c r="D32" s="15"/>
      <c r="E32" s="16">
        <f t="shared" si="0"/>
        <v>0</v>
      </c>
      <c r="F32" s="17"/>
      <c r="G32" s="18">
        <f t="shared" si="1"/>
        <v>0</v>
      </c>
      <c r="H32" s="17"/>
      <c r="I32" s="19">
        <f t="shared" si="2"/>
        <v>0</v>
      </c>
      <c r="J32" s="17"/>
      <c r="K32" s="18">
        <f t="shared" si="3"/>
        <v>0</v>
      </c>
      <c r="L32" s="17"/>
      <c r="M32" s="18">
        <f t="shared" si="4"/>
        <v>0</v>
      </c>
      <c r="N32" s="17"/>
      <c r="O32" s="18">
        <f t="shared" si="5"/>
        <v>0</v>
      </c>
      <c r="P32" s="17"/>
      <c r="Q32" s="18">
        <f t="shared" si="6"/>
        <v>0</v>
      </c>
      <c r="R32" s="20">
        <f t="shared" si="7"/>
        <v>0</v>
      </c>
      <c r="S32" s="21">
        <f t="shared" si="8"/>
        <v>0</v>
      </c>
    </row>
    <row r="33" spans="1:19" ht="14.25" hidden="1" customHeight="1" x14ac:dyDescent="0.25">
      <c r="A33" s="12"/>
      <c r="B33" s="13"/>
      <c r="C33" s="14"/>
      <c r="D33" s="15"/>
      <c r="E33" s="16">
        <f t="shared" si="0"/>
        <v>0</v>
      </c>
      <c r="F33" s="17"/>
      <c r="G33" s="18">
        <f t="shared" si="1"/>
        <v>0</v>
      </c>
      <c r="H33" s="17"/>
      <c r="I33" s="19">
        <f t="shared" si="2"/>
        <v>0</v>
      </c>
      <c r="J33" s="17"/>
      <c r="K33" s="18">
        <f t="shared" si="3"/>
        <v>0</v>
      </c>
      <c r="L33" s="17"/>
      <c r="M33" s="18">
        <f t="shared" si="4"/>
        <v>0</v>
      </c>
      <c r="N33" s="17"/>
      <c r="O33" s="18">
        <f t="shared" si="5"/>
        <v>0</v>
      </c>
      <c r="P33" s="17"/>
      <c r="Q33" s="18">
        <f t="shared" si="6"/>
        <v>0</v>
      </c>
      <c r="R33" s="20">
        <f t="shared" si="7"/>
        <v>0</v>
      </c>
      <c r="S33" s="21">
        <f t="shared" si="8"/>
        <v>0</v>
      </c>
    </row>
    <row r="34" spans="1:19" ht="14.25" hidden="1" customHeight="1" x14ac:dyDescent="0.25">
      <c r="A34" s="12"/>
      <c r="B34" s="13"/>
      <c r="C34" s="14"/>
      <c r="D34" s="15"/>
      <c r="E34" s="16">
        <f t="shared" si="0"/>
        <v>0</v>
      </c>
      <c r="F34" s="17"/>
      <c r="G34" s="18">
        <f t="shared" si="1"/>
        <v>0</v>
      </c>
      <c r="H34" s="17"/>
      <c r="I34" s="19">
        <f t="shared" si="2"/>
        <v>0</v>
      </c>
      <c r="J34" s="17"/>
      <c r="K34" s="18">
        <f t="shared" si="3"/>
        <v>0</v>
      </c>
      <c r="L34" s="17"/>
      <c r="M34" s="18">
        <f t="shared" si="4"/>
        <v>0</v>
      </c>
      <c r="N34" s="17"/>
      <c r="O34" s="18">
        <f t="shared" si="5"/>
        <v>0</v>
      </c>
      <c r="P34" s="17"/>
      <c r="Q34" s="18">
        <f t="shared" si="6"/>
        <v>0</v>
      </c>
      <c r="R34" s="20">
        <f t="shared" si="7"/>
        <v>0</v>
      </c>
      <c r="S34" s="21">
        <f t="shared" si="8"/>
        <v>0</v>
      </c>
    </row>
    <row r="35" spans="1:19" ht="14.25" hidden="1" customHeight="1" x14ac:dyDescent="0.25">
      <c r="A35" s="12"/>
      <c r="B35" s="13"/>
      <c r="C35" s="14"/>
      <c r="D35" s="15"/>
      <c r="E35" s="16">
        <f t="shared" si="0"/>
        <v>0</v>
      </c>
      <c r="F35" s="17"/>
      <c r="G35" s="18">
        <f t="shared" si="1"/>
        <v>0</v>
      </c>
      <c r="H35" s="17"/>
      <c r="I35" s="19">
        <f t="shared" si="2"/>
        <v>0</v>
      </c>
      <c r="J35" s="17"/>
      <c r="K35" s="18">
        <f t="shared" si="3"/>
        <v>0</v>
      </c>
      <c r="L35" s="17"/>
      <c r="M35" s="18">
        <f t="shared" si="4"/>
        <v>0</v>
      </c>
      <c r="N35" s="17"/>
      <c r="O35" s="18">
        <f t="shared" si="5"/>
        <v>0</v>
      </c>
      <c r="P35" s="17"/>
      <c r="Q35" s="18">
        <f t="shared" si="6"/>
        <v>0</v>
      </c>
      <c r="R35" s="20">
        <f t="shared" si="7"/>
        <v>0</v>
      </c>
      <c r="S35" s="21">
        <f t="shared" si="8"/>
        <v>0</v>
      </c>
    </row>
    <row r="36" spans="1:19" ht="14.25" hidden="1" customHeight="1" x14ac:dyDescent="0.25">
      <c r="A36" s="12"/>
      <c r="B36" s="13"/>
      <c r="C36" s="14"/>
      <c r="D36" s="15"/>
      <c r="E36" s="16">
        <f t="shared" si="0"/>
        <v>0</v>
      </c>
      <c r="F36" s="17"/>
      <c r="G36" s="18">
        <f t="shared" si="1"/>
        <v>0</v>
      </c>
      <c r="H36" s="17"/>
      <c r="I36" s="19">
        <f t="shared" si="2"/>
        <v>0</v>
      </c>
      <c r="J36" s="17"/>
      <c r="K36" s="18">
        <f t="shared" si="3"/>
        <v>0</v>
      </c>
      <c r="L36" s="17"/>
      <c r="M36" s="18">
        <f t="shared" si="4"/>
        <v>0</v>
      </c>
      <c r="N36" s="17"/>
      <c r="O36" s="18">
        <f t="shared" si="5"/>
        <v>0</v>
      </c>
      <c r="P36" s="17"/>
      <c r="Q36" s="18">
        <f t="shared" si="6"/>
        <v>0</v>
      </c>
      <c r="R36" s="20">
        <f t="shared" si="7"/>
        <v>0</v>
      </c>
      <c r="S36" s="21">
        <f t="shared" si="8"/>
        <v>0</v>
      </c>
    </row>
    <row r="37" spans="1:19" ht="14.25" hidden="1" customHeight="1" x14ac:dyDescent="0.25">
      <c r="A37" s="12"/>
      <c r="B37" s="13"/>
      <c r="C37" s="14"/>
      <c r="D37" s="15"/>
      <c r="E37" s="16">
        <f t="shared" si="0"/>
        <v>0</v>
      </c>
      <c r="F37" s="17"/>
      <c r="G37" s="18">
        <f t="shared" si="1"/>
        <v>0</v>
      </c>
      <c r="H37" s="17"/>
      <c r="I37" s="19">
        <f t="shared" si="2"/>
        <v>0</v>
      </c>
      <c r="J37" s="17"/>
      <c r="K37" s="18">
        <f t="shared" si="3"/>
        <v>0</v>
      </c>
      <c r="L37" s="17"/>
      <c r="M37" s="18">
        <f t="shared" si="4"/>
        <v>0</v>
      </c>
      <c r="N37" s="17"/>
      <c r="O37" s="18">
        <f t="shared" si="5"/>
        <v>0</v>
      </c>
      <c r="P37" s="17"/>
      <c r="Q37" s="18">
        <f t="shared" si="6"/>
        <v>0</v>
      </c>
      <c r="R37" s="20">
        <f t="shared" si="7"/>
        <v>0</v>
      </c>
      <c r="S37" s="21">
        <f t="shared" si="8"/>
        <v>0</v>
      </c>
    </row>
    <row r="38" spans="1:19" ht="14.25" hidden="1" customHeight="1" x14ac:dyDescent="0.25">
      <c r="A38" s="12"/>
      <c r="B38" s="13"/>
      <c r="C38" s="14"/>
      <c r="D38" s="15"/>
      <c r="E38" s="16">
        <f t="shared" si="0"/>
        <v>0</v>
      </c>
      <c r="F38" s="17"/>
      <c r="G38" s="18">
        <f t="shared" si="1"/>
        <v>0</v>
      </c>
      <c r="H38" s="17"/>
      <c r="I38" s="19">
        <f t="shared" si="2"/>
        <v>0</v>
      </c>
      <c r="J38" s="17"/>
      <c r="K38" s="18">
        <f t="shared" si="3"/>
        <v>0</v>
      </c>
      <c r="L38" s="17"/>
      <c r="M38" s="18">
        <f t="shared" si="4"/>
        <v>0</v>
      </c>
      <c r="N38" s="17"/>
      <c r="O38" s="18">
        <f t="shared" si="5"/>
        <v>0</v>
      </c>
      <c r="P38" s="17"/>
      <c r="Q38" s="18">
        <f t="shared" si="6"/>
        <v>0</v>
      </c>
      <c r="R38" s="20">
        <f t="shared" si="7"/>
        <v>0</v>
      </c>
      <c r="S38" s="21">
        <f t="shared" si="8"/>
        <v>0</v>
      </c>
    </row>
    <row r="39" spans="1:19" ht="14.25" hidden="1" customHeight="1" x14ac:dyDescent="0.25">
      <c r="A39" s="12"/>
      <c r="B39" s="13"/>
      <c r="C39" s="14"/>
      <c r="D39" s="15"/>
      <c r="E39" s="16">
        <f t="shared" si="0"/>
        <v>0</v>
      </c>
      <c r="F39" s="17"/>
      <c r="G39" s="18">
        <f t="shared" si="1"/>
        <v>0</v>
      </c>
      <c r="H39" s="17"/>
      <c r="I39" s="19">
        <f t="shared" si="2"/>
        <v>0</v>
      </c>
      <c r="J39" s="17"/>
      <c r="K39" s="18">
        <f t="shared" si="3"/>
        <v>0</v>
      </c>
      <c r="L39" s="17"/>
      <c r="M39" s="18">
        <f t="shared" si="4"/>
        <v>0</v>
      </c>
      <c r="N39" s="17"/>
      <c r="O39" s="18">
        <f t="shared" si="5"/>
        <v>0</v>
      </c>
      <c r="P39" s="17"/>
      <c r="Q39" s="18">
        <f t="shared" si="6"/>
        <v>0</v>
      </c>
      <c r="R39" s="20">
        <f t="shared" si="7"/>
        <v>0</v>
      </c>
      <c r="S39" s="21">
        <f t="shared" si="8"/>
        <v>0</v>
      </c>
    </row>
    <row r="40" spans="1:19" ht="14.25" hidden="1" customHeight="1" x14ac:dyDescent="0.25">
      <c r="A40" s="12"/>
      <c r="B40" s="13"/>
      <c r="C40" s="14"/>
      <c r="D40" s="15"/>
      <c r="E40" s="16">
        <f t="shared" si="0"/>
        <v>0</v>
      </c>
      <c r="F40" s="17"/>
      <c r="G40" s="18">
        <f t="shared" si="1"/>
        <v>0</v>
      </c>
      <c r="H40" s="17"/>
      <c r="I40" s="19">
        <f t="shared" si="2"/>
        <v>0</v>
      </c>
      <c r="J40" s="17"/>
      <c r="K40" s="18">
        <f t="shared" si="3"/>
        <v>0</v>
      </c>
      <c r="L40" s="17"/>
      <c r="M40" s="18">
        <f t="shared" si="4"/>
        <v>0</v>
      </c>
      <c r="N40" s="17"/>
      <c r="O40" s="18">
        <f t="shared" si="5"/>
        <v>0</v>
      </c>
      <c r="P40" s="17"/>
      <c r="Q40" s="18">
        <f t="shared" si="6"/>
        <v>0</v>
      </c>
      <c r="R40" s="20">
        <f t="shared" si="7"/>
        <v>0</v>
      </c>
      <c r="S40" s="21">
        <f t="shared" si="8"/>
        <v>0</v>
      </c>
    </row>
    <row r="41" spans="1:19" ht="14.25" hidden="1" customHeight="1" x14ac:dyDescent="0.25">
      <c r="A41" s="12"/>
      <c r="B41" s="13"/>
      <c r="C41" s="14"/>
      <c r="D41" s="15"/>
      <c r="E41" s="16">
        <f t="shared" si="0"/>
        <v>0</v>
      </c>
      <c r="F41" s="17"/>
      <c r="G41" s="18">
        <f t="shared" si="1"/>
        <v>0</v>
      </c>
      <c r="H41" s="17"/>
      <c r="I41" s="19">
        <f t="shared" si="2"/>
        <v>0</v>
      </c>
      <c r="J41" s="17"/>
      <c r="K41" s="18">
        <f t="shared" si="3"/>
        <v>0</v>
      </c>
      <c r="L41" s="17"/>
      <c r="M41" s="18">
        <f t="shared" si="4"/>
        <v>0</v>
      </c>
      <c r="N41" s="17"/>
      <c r="O41" s="18">
        <f t="shared" si="5"/>
        <v>0</v>
      </c>
      <c r="P41" s="17"/>
      <c r="Q41" s="18">
        <f t="shared" si="6"/>
        <v>0</v>
      </c>
      <c r="R41" s="20">
        <f t="shared" si="7"/>
        <v>0</v>
      </c>
      <c r="S41" s="21">
        <f t="shared" si="8"/>
        <v>0</v>
      </c>
    </row>
    <row r="42" spans="1:19" ht="14.25" hidden="1" customHeight="1" x14ac:dyDescent="0.25">
      <c r="A42" s="12"/>
      <c r="B42" s="13"/>
      <c r="C42" s="14"/>
      <c r="D42" s="15"/>
      <c r="E42" s="16">
        <f t="shared" si="0"/>
        <v>0</v>
      </c>
      <c r="F42" s="17"/>
      <c r="G42" s="18">
        <f t="shared" si="1"/>
        <v>0</v>
      </c>
      <c r="H42" s="17"/>
      <c r="I42" s="19">
        <f t="shared" si="2"/>
        <v>0</v>
      </c>
      <c r="J42" s="17"/>
      <c r="K42" s="18">
        <f t="shared" si="3"/>
        <v>0</v>
      </c>
      <c r="L42" s="17"/>
      <c r="M42" s="18">
        <f t="shared" si="4"/>
        <v>0</v>
      </c>
      <c r="N42" s="17"/>
      <c r="O42" s="18">
        <f t="shared" si="5"/>
        <v>0</v>
      </c>
      <c r="P42" s="17"/>
      <c r="Q42" s="18">
        <f t="shared" si="6"/>
        <v>0</v>
      </c>
      <c r="R42" s="20">
        <f t="shared" si="7"/>
        <v>0</v>
      </c>
      <c r="S42" s="21">
        <f t="shared" si="8"/>
        <v>0</v>
      </c>
    </row>
    <row r="43" spans="1:19" ht="14.25" hidden="1" customHeight="1" x14ac:dyDescent="0.25">
      <c r="A43" s="12"/>
      <c r="B43" s="13"/>
      <c r="C43" s="14"/>
      <c r="D43" s="15"/>
      <c r="E43" s="16">
        <f t="shared" si="0"/>
        <v>0</v>
      </c>
      <c r="F43" s="17"/>
      <c r="G43" s="18">
        <f t="shared" si="1"/>
        <v>0</v>
      </c>
      <c r="H43" s="17"/>
      <c r="I43" s="19">
        <f t="shared" si="2"/>
        <v>0</v>
      </c>
      <c r="J43" s="17"/>
      <c r="K43" s="18">
        <f t="shared" si="3"/>
        <v>0</v>
      </c>
      <c r="L43" s="17"/>
      <c r="M43" s="18">
        <f t="shared" si="4"/>
        <v>0</v>
      </c>
      <c r="N43" s="17"/>
      <c r="O43" s="18">
        <f t="shared" si="5"/>
        <v>0</v>
      </c>
      <c r="P43" s="17"/>
      <c r="Q43" s="18">
        <f t="shared" si="6"/>
        <v>0</v>
      </c>
      <c r="R43" s="20">
        <f t="shared" si="7"/>
        <v>0</v>
      </c>
      <c r="S43" s="21">
        <f t="shared" si="8"/>
        <v>0</v>
      </c>
    </row>
    <row r="44" spans="1:19" ht="14.25" hidden="1" customHeight="1" x14ac:dyDescent="0.25">
      <c r="A44" s="12"/>
      <c r="B44" s="13"/>
      <c r="C44" s="14"/>
      <c r="D44" s="15"/>
      <c r="E44" s="16">
        <f t="shared" si="0"/>
        <v>0</v>
      </c>
      <c r="F44" s="17"/>
      <c r="G44" s="18">
        <f t="shared" si="1"/>
        <v>0</v>
      </c>
      <c r="H44" s="17"/>
      <c r="I44" s="19">
        <f t="shared" si="2"/>
        <v>0</v>
      </c>
      <c r="J44" s="17"/>
      <c r="K44" s="18">
        <f t="shared" si="3"/>
        <v>0</v>
      </c>
      <c r="L44" s="17"/>
      <c r="M44" s="18">
        <f t="shared" si="4"/>
        <v>0</v>
      </c>
      <c r="N44" s="17"/>
      <c r="O44" s="18">
        <f t="shared" si="5"/>
        <v>0</v>
      </c>
      <c r="P44" s="17"/>
      <c r="Q44" s="18">
        <f t="shared" si="6"/>
        <v>0</v>
      </c>
      <c r="R44" s="20">
        <f t="shared" si="7"/>
        <v>0</v>
      </c>
      <c r="S44" s="21">
        <f t="shared" si="8"/>
        <v>0</v>
      </c>
    </row>
    <row r="45" spans="1:19" ht="14.25" customHeight="1" x14ac:dyDescent="0.25">
      <c r="A45" s="12"/>
      <c r="B45" s="13"/>
      <c r="C45" s="14"/>
      <c r="D45" s="15"/>
      <c r="E45" s="16">
        <f t="shared" si="0"/>
        <v>0</v>
      </c>
      <c r="F45" s="17"/>
      <c r="G45" s="18">
        <f t="shared" si="1"/>
        <v>0</v>
      </c>
      <c r="H45" s="17"/>
      <c r="I45" s="19">
        <f t="shared" si="2"/>
        <v>0</v>
      </c>
      <c r="J45" s="17"/>
      <c r="K45" s="18">
        <f t="shared" si="3"/>
        <v>0</v>
      </c>
      <c r="L45" s="17"/>
      <c r="M45" s="18">
        <f t="shared" si="4"/>
        <v>0</v>
      </c>
      <c r="N45" s="17"/>
      <c r="O45" s="18">
        <f t="shared" si="5"/>
        <v>0</v>
      </c>
      <c r="P45" s="17"/>
      <c r="Q45" s="18">
        <f t="shared" si="6"/>
        <v>0</v>
      </c>
      <c r="R45" s="20">
        <f t="shared" si="7"/>
        <v>0</v>
      </c>
      <c r="S45" s="21">
        <f t="shared" si="8"/>
        <v>0</v>
      </c>
    </row>
    <row r="46" spans="1:19" ht="14.25" customHeight="1" x14ac:dyDescent="0.25">
      <c r="A46" s="12"/>
      <c r="B46" s="13"/>
      <c r="C46" s="14"/>
      <c r="D46" s="15"/>
      <c r="E46" s="16">
        <f t="shared" si="0"/>
        <v>0</v>
      </c>
      <c r="F46" s="17"/>
      <c r="G46" s="18">
        <f t="shared" si="1"/>
        <v>0</v>
      </c>
      <c r="H46" s="17"/>
      <c r="I46" s="19">
        <f t="shared" si="2"/>
        <v>0</v>
      </c>
      <c r="J46" s="17"/>
      <c r="K46" s="18">
        <f t="shared" si="3"/>
        <v>0</v>
      </c>
      <c r="L46" s="17"/>
      <c r="M46" s="18">
        <f t="shared" si="4"/>
        <v>0</v>
      </c>
      <c r="N46" s="17"/>
      <c r="O46" s="18">
        <f t="shared" si="5"/>
        <v>0</v>
      </c>
      <c r="P46" s="17"/>
      <c r="Q46" s="18">
        <f t="shared" si="6"/>
        <v>0</v>
      </c>
      <c r="R46" s="20">
        <f t="shared" si="7"/>
        <v>0</v>
      </c>
      <c r="S46" s="21">
        <f t="shared" si="8"/>
        <v>0</v>
      </c>
    </row>
    <row r="47" spans="1:19" ht="14.25" customHeight="1" x14ac:dyDescent="0.25">
      <c r="A47" s="12"/>
      <c r="B47" s="13"/>
      <c r="C47" s="14"/>
      <c r="D47" s="15"/>
      <c r="E47" s="16">
        <f t="shared" si="0"/>
        <v>0</v>
      </c>
      <c r="F47" s="17"/>
      <c r="G47" s="18">
        <f t="shared" si="1"/>
        <v>0</v>
      </c>
      <c r="H47" s="17"/>
      <c r="I47" s="19">
        <f t="shared" si="2"/>
        <v>0</v>
      </c>
      <c r="J47" s="17"/>
      <c r="K47" s="18">
        <f t="shared" si="3"/>
        <v>0</v>
      </c>
      <c r="L47" s="17"/>
      <c r="M47" s="18">
        <f t="shared" si="4"/>
        <v>0</v>
      </c>
      <c r="N47" s="17"/>
      <c r="O47" s="18">
        <f t="shared" si="5"/>
        <v>0</v>
      </c>
      <c r="P47" s="17"/>
      <c r="Q47" s="18">
        <f t="shared" si="6"/>
        <v>0</v>
      </c>
      <c r="R47" s="20">
        <f t="shared" si="7"/>
        <v>0</v>
      </c>
      <c r="S47" s="21">
        <f t="shared" si="8"/>
        <v>0</v>
      </c>
    </row>
    <row r="48" spans="1:19" ht="14.25" customHeight="1" thickBot="1" x14ac:dyDescent="0.3">
      <c r="A48" s="24"/>
      <c r="B48" s="25"/>
      <c r="C48" s="26"/>
      <c r="D48" s="27"/>
      <c r="E48" s="28"/>
      <c r="F48" s="29"/>
      <c r="G48" s="30"/>
      <c r="H48" s="27"/>
      <c r="I48" s="31"/>
      <c r="J48" s="29"/>
      <c r="K48" s="30">
        <f t="shared" si="3"/>
        <v>0</v>
      </c>
      <c r="L48" s="29"/>
      <c r="M48" s="30">
        <f t="shared" si="4"/>
        <v>0</v>
      </c>
      <c r="N48" s="29"/>
      <c r="O48" s="30">
        <f t="shared" si="5"/>
        <v>0</v>
      </c>
      <c r="P48" s="29"/>
      <c r="Q48" s="30">
        <f t="shared" si="6"/>
        <v>0</v>
      </c>
      <c r="R48" s="20">
        <f t="shared" si="7"/>
        <v>0</v>
      </c>
      <c r="S48" s="32">
        <f t="shared" si="8"/>
        <v>0</v>
      </c>
    </row>
    <row r="49" spans="1:19" ht="14.25" customHeight="1" thickBot="1" x14ac:dyDescent="0.3">
      <c r="A49" s="200" t="s">
        <v>7</v>
      </c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4"/>
    </row>
    <row r="50" spans="1:19" ht="14.25" customHeight="1" thickBot="1" x14ac:dyDescent="0.3">
      <c r="A50" s="33" t="s">
        <v>8</v>
      </c>
      <c r="B50" s="201"/>
      <c r="C50" s="202"/>
      <c r="D50" s="34"/>
      <c r="E50" s="35">
        <f>+SUM(E12:E48)</f>
        <v>9631275.2561983485</v>
      </c>
      <c r="F50" s="36"/>
      <c r="G50" s="37">
        <f>+SUM(G12:G48)</f>
        <v>10418821.487603307</v>
      </c>
      <c r="H50" s="36"/>
      <c r="I50" s="37">
        <f>+SUM(I12:I49)</f>
        <v>6632314.8760330575</v>
      </c>
      <c r="J50" s="36"/>
      <c r="K50" s="37">
        <f>+SUM(K12:K48)</f>
        <v>8954780.4157024808</v>
      </c>
      <c r="L50" s="36"/>
      <c r="M50" s="37">
        <f>+SUM(M12:M48)</f>
        <v>0</v>
      </c>
      <c r="N50" s="36"/>
      <c r="O50" s="37">
        <f>+SUM(O12:O49)</f>
        <v>0</v>
      </c>
      <c r="P50" s="36"/>
      <c r="Q50" s="37">
        <f>+SUM(Q12:Q49)</f>
        <v>0</v>
      </c>
      <c r="R50" s="38"/>
      <c r="S50" s="37">
        <f>+SUM(S12:S49)</f>
        <v>8504470.5561983474</v>
      </c>
    </row>
    <row r="51" spans="1:19" ht="14.25" customHeight="1" thickBot="1" x14ac:dyDescent="0.3">
      <c r="A51" s="39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</row>
    <row r="52" spans="1:19" ht="14.25" customHeight="1" x14ac:dyDescent="0.25">
      <c r="A52" s="42" t="s">
        <v>9</v>
      </c>
      <c r="B52" s="203"/>
      <c r="C52" s="197"/>
      <c r="D52" s="43">
        <v>0</v>
      </c>
      <c r="E52" s="44">
        <f>+E50*D52</f>
        <v>0</v>
      </c>
      <c r="F52" s="43">
        <v>0</v>
      </c>
      <c r="G52" s="45">
        <f>+G50*F52</f>
        <v>0</v>
      </c>
      <c r="H52" s="43">
        <v>0</v>
      </c>
      <c r="I52" s="45">
        <f>+I50*H52</f>
        <v>0</v>
      </c>
      <c r="J52" s="43">
        <v>0</v>
      </c>
      <c r="K52" s="45">
        <f>+K50*J52</f>
        <v>0</v>
      </c>
      <c r="L52" s="43">
        <v>0</v>
      </c>
      <c r="M52" s="45">
        <f>+M50*L52</f>
        <v>0</v>
      </c>
      <c r="N52" s="43">
        <v>0</v>
      </c>
      <c r="O52" s="45">
        <f>+O50*N52</f>
        <v>0</v>
      </c>
      <c r="P52" s="43">
        <v>0</v>
      </c>
      <c r="Q52" s="45">
        <f>+Q50*P52</f>
        <v>0</v>
      </c>
      <c r="R52" s="46"/>
      <c r="S52" s="45">
        <f>+S50*R52</f>
        <v>0</v>
      </c>
    </row>
    <row r="53" spans="1:19" ht="14.25" customHeight="1" x14ac:dyDescent="0.25">
      <c r="A53" s="47" t="s">
        <v>10</v>
      </c>
      <c r="B53" s="186">
        <v>1</v>
      </c>
      <c r="C53" s="187"/>
      <c r="D53" s="48"/>
      <c r="E53" s="49"/>
      <c r="F53" s="48"/>
      <c r="G53" s="50"/>
      <c r="H53" s="48"/>
      <c r="I53" s="50"/>
      <c r="J53" s="48"/>
      <c r="K53" s="50"/>
      <c r="L53" s="48"/>
      <c r="M53" s="50"/>
      <c r="N53" s="48"/>
      <c r="O53" s="50"/>
      <c r="P53" s="48"/>
      <c r="Q53" s="50"/>
      <c r="R53" s="51"/>
      <c r="S53" s="50"/>
    </row>
    <row r="54" spans="1:19" ht="14.25" customHeight="1" x14ac:dyDescent="0.25">
      <c r="A54" s="47" t="s">
        <v>11</v>
      </c>
      <c r="B54" s="186"/>
      <c r="C54" s="187"/>
      <c r="D54" s="48"/>
      <c r="E54" s="49">
        <f>+E50-E52</f>
        <v>9631275.2561983485</v>
      </c>
      <c r="F54" s="48"/>
      <c r="G54" s="50">
        <f>+G50-G52</f>
        <v>10418821.487603307</v>
      </c>
      <c r="H54" s="48"/>
      <c r="I54" s="50">
        <f>+I50-I52</f>
        <v>6632314.8760330575</v>
      </c>
      <c r="J54" s="48"/>
      <c r="K54" s="50">
        <f>+K50-K52</f>
        <v>8954780.4157024808</v>
      </c>
      <c r="L54" s="48"/>
      <c r="M54" s="50">
        <f>+M50-M52</f>
        <v>0</v>
      </c>
      <c r="N54" s="48"/>
      <c r="O54" s="50">
        <f>+O50-O52</f>
        <v>0</v>
      </c>
      <c r="P54" s="48"/>
      <c r="Q54" s="50">
        <f>+Q50-Q52</f>
        <v>0</v>
      </c>
      <c r="R54" s="51"/>
      <c r="S54" s="50">
        <f>+S50-S52</f>
        <v>8504470.5561983474</v>
      </c>
    </row>
    <row r="55" spans="1:19" ht="14.25" customHeight="1" x14ac:dyDescent="0.25">
      <c r="A55" s="47" t="s">
        <v>12</v>
      </c>
      <c r="B55" s="207">
        <v>0.21</v>
      </c>
      <c r="C55" s="187"/>
      <c r="D55" s="48"/>
      <c r="E55" s="49">
        <f>(+E54)*B55</f>
        <v>2022567.8038016532</v>
      </c>
      <c r="F55" s="48"/>
      <c r="G55" s="50">
        <f>(+G54)*B55</f>
        <v>2187952.5123966942</v>
      </c>
      <c r="H55" s="48"/>
      <c r="I55" s="50">
        <f>(+I54)*B55</f>
        <v>1392786.1239669421</v>
      </c>
      <c r="J55" s="48"/>
      <c r="K55" s="50">
        <f>(+K54)*B55</f>
        <v>1880503.8872975209</v>
      </c>
      <c r="L55" s="48"/>
      <c r="M55" s="50">
        <f>(+M54)*B55</f>
        <v>0</v>
      </c>
      <c r="N55" s="48"/>
      <c r="O55" s="50">
        <f>(+O54)*B55</f>
        <v>0</v>
      </c>
      <c r="P55" s="48"/>
      <c r="Q55" s="50">
        <f>(+Q54)*B55</f>
        <v>0</v>
      </c>
      <c r="R55" s="51"/>
      <c r="S55" s="50">
        <f>S54*B55</f>
        <v>1785938.8168016528</v>
      </c>
    </row>
    <row r="56" spans="1:19" ht="14.25" customHeight="1" x14ac:dyDescent="0.25">
      <c r="A56" s="52" t="s">
        <v>13</v>
      </c>
      <c r="B56" s="53"/>
      <c r="C56" s="54"/>
      <c r="D56" s="55"/>
      <c r="E56" s="56"/>
      <c r="F56" s="55"/>
      <c r="G56" s="57"/>
      <c r="H56" s="55"/>
      <c r="I56" s="57"/>
      <c r="J56" s="55"/>
      <c r="K56" s="57"/>
      <c r="L56" s="55"/>
      <c r="M56" s="57"/>
      <c r="N56" s="55"/>
      <c r="O56" s="57"/>
      <c r="P56" s="55"/>
      <c r="Q56" s="57"/>
      <c r="R56" s="58"/>
      <c r="S56" s="57"/>
    </row>
    <row r="57" spans="1:19" ht="14.25" customHeight="1" thickBot="1" x14ac:dyDescent="0.3">
      <c r="A57" s="59" t="s">
        <v>14</v>
      </c>
      <c r="B57" s="60"/>
      <c r="C57" s="61"/>
      <c r="D57" s="62"/>
      <c r="E57" s="63"/>
      <c r="F57" s="62"/>
      <c r="G57" s="64"/>
      <c r="H57" s="62"/>
      <c r="I57" s="64"/>
      <c r="J57" s="62"/>
      <c r="K57" s="64"/>
      <c r="L57" s="62"/>
      <c r="M57" s="64"/>
      <c r="N57" s="62"/>
      <c r="O57" s="64"/>
      <c r="P57" s="62"/>
      <c r="Q57" s="64"/>
      <c r="R57" s="65"/>
      <c r="S57" s="64"/>
    </row>
    <row r="58" spans="1:19" ht="14.25" customHeight="1" thickBot="1" x14ac:dyDescent="0.3">
      <c r="A58" s="39"/>
      <c r="B58" s="40"/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</row>
    <row r="59" spans="1:19" ht="14.25" customHeight="1" thickBot="1" x14ac:dyDescent="0.3">
      <c r="A59" s="66" t="s">
        <v>15</v>
      </c>
      <c r="B59" s="67"/>
      <c r="C59" s="68"/>
      <c r="D59" s="69"/>
      <c r="E59" s="70">
        <f>+E54+E55+E57+E56</f>
        <v>11653843.060000002</v>
      </c>
      <c r="F59" s="71"/>
      <c r="G59" s="70">
        <f>+G54+G55+G57+G56</f>
        <v>12606774</v>
      </c>
      <c r="H59" s="71"/>
      <c r="I59" s="70">
        <f>+I54+I55+I57+I56</f>
        <v>8025101</v>
      </c>
      <c r="J59" s="71"/>
      <c r="K59" s="70">
        <f>+K54+K55+K57+K56</f>
        <v>10835284.303000001</v>
      </c>
      <c r="L59" s="71"/>
      <c r="M59" s="70">
        <f>+M54+M55+M57+M56</f>
        <v>0</v>
      </c>
      <c r="N59" s="69"/>
      <c r="O59" s="72">
        <f>+O54+O55+O57+O56</f>
        <v>0</v>
      </c>
      <c r="P59" s="69"/>
      <c r="Q59" s="72">
        <f>+Q54+Q55+Q57+Q56</f>
        <v>0</v>
      </c>
      <c r="R59" s="69"/>
      <c r="S59" s="70">
        <f>SUM(S54:S57)</f>
        <v>10290409.373</v>
      </c>
    </row>
    <row r="60" spans="1:19" ht="78.75" customHeight="1" thickBot="1" x14ac:dyDescent="0.3">
      <c r="A60" s="73" t="s">
        <v>16</v>
      </c>
      <c r="B60" s="208"/>
      <c r="C60" s="205"/>
      <c r="D60" s="204" t="s">
        <v>46</v>
      </c>
      <c r="E60" s="205"/>
      <c r="F60" s="209" t="s">
        <v>45</v>
      </c>
      <c r="G60" s="205"/>
      <c r="H60" s="209" t="s">
        <v>48</v>
      </c>
      <c r="I60" s="205"/>
      <c r="J60" s="209" t="s">
        <v>49</v>
      </c>
      <c r="K60" s="205"/>
      <c r="L60" s="209"/>
      <c r="M60" s="205"/>
      <c r="N60" s="204"/>
      <c r="O60" s="205"/>
      <c r="P60" s="204"/>
      <c r="Q60" s="205"/>
      <c r="R60" s="206"/>
      <c r="S60" s="205"/>
    </row>
    <row r="61" spans="1:19" ht="14.25" customHeight="1" x14ac:dyDescent="0.25">
      <c r="J61" s="74"/>
      <c r="L61" s="181"/>
    </row>
    <row r="62" spans="1:19" ht="14.25" customHeight="1" x14ac:dyDescent="0.25">
      <c r="J62" s="75"/>
      <c r="K62" s="76"/>
      <c r="L62" s="182"/>
      <c r="M62" s="76"/>
    </row>
    <row r="63" spans="1:19" ht="14.25" customHeight="1" x14ac:dyDescent="0.25">
      <c r="B63" s="77"/>
      <c r="G63" s="78"/>
      <c r="I63" s="78"/>
      <c r="J63" s="75"/>
      <c r="K63" s="78"/>
      <c r="L63" s="182"/>
      <c r="M63" s="78"/>
      <c r="O63" s="78"/>
      <c r="Q63" s="78"/>
    </row>
    <row r="64" spans="1:19" ht="14.25" customHeight="1" x14ac:dyDescent="0.25">
      <c r="J64" s="75"/>
      <c r="L64" s="182"/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8">
    <mergeCell ref="B53:C53"/>
    <mergeCell ref="A8:S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P10:Q10"/>
    <mergeCell ref="R10:S10"/>
    <mergeCell ref="A49:R49"/>
    <mergeCell ref="B50:C50"/>
    <mergeCell ref="B52:C52"/>
    <mergeCell ref="N60:O60"/>
    <mergeCell ref="P60:Q60"/>
    <mergeCell ref="R60:S60"/>
    <mergeCell ref="L61:L64"/>
    <mergeCell ref="B54:C54"/>
    <mergeCell ref="B55:C55"/>
    <mergeCell ref="B60:C60"/>
    <mergeCell ref="D60:E60"/>
    <mergeCell ref="F60:G60"/>
    <mergeCell ref="H60:I60"/>
    <mergeCell ref="J60:K60"/>
    <mergeCell ref="L60:M6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7CFB-8ACD-4829-AEA4-86062C9A5E77}">
  <dimension ref="A1:S1000"/>
  <sheetViews>
    <sheetView topLeftCell="A4" zoomScale="70" zoomScaleNormal="70" workbookViewId="0">
      <pane xSplit="3" topLeftCell="D1" activePane="topRight" state="frozen"/>
      <selection pane="topRight" activeCell="S6" sqref="S6"/>
    </sheetView>
  </sheetViews>
  <sheetFormatPr baseColWidth="10" defaultColWidth="14.42578125" defaultRowHeight="15" x14ac:dyDescent="0.25"/>
  <cols>
    <col min="1" max="1" width="40.28515625" customWidth="1"/>
    <col min="2" max="2" width="6.85546875" customWidth="1"/>
    <col min="3" max="3" width="9" customWidth="1"/>
    <col min="4" max="4" width="14.7109375" customWidth="1"/>
    <col min="5" max="5" width="15.28515625" customWidth="1"/>
    <col min="6" max="6" width="14.7109375" customWidth="1"/>
    <col min="7" max="7" width="15.28515625" customWidth="1"/>
    <col min="8" max="8" width="14.7109375" customWidth="1"/>
    <col min="9" max="9" width="16.28515625" bestFit="1" customWidth="1"/>
    <col min="10" max="10" width="14.7109375" customWidth="1"/>
    <col min="11" max="11" width="15.7109375" customWidth="1"/>
    <col min="12" max="12" width="14.7109375" hidden="1" customWidth="1"/>
    <col min="13" max="13" width="15.7109375" hidden="1" customWidth="1"/>
    <col min="14" max="14" width="14.7109375" hidden="1" customWidth="1"/>
    <col min="15" max="15" width="15.28515625" hidden="1" customWidth="1"/>
    <col min="16" max="16" width="14.7109375" hidden="1" customWidth="1"/>
    <col min="17" max="17" width="15.28515625" hidden="1" customWidth="1"/>
    <col min="18" max="18" width="14.7109375" customWidth="1"/>
    <col min="19" max="19" width="15.28515625" customWidth="1"/>
    <col min="20" max="26" width="10.7109375" customWidth="1"/>
  </cols>
  <sheetData>
    <row r="1" spans="1:19" ht="14.25" customHeight="1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19" ht="14.25" customHeight="1" x14ac:dyDescent="0.25">
      <c r="A2" s="5" t="s">
        <v>51</v>
      </c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ht="14.25" customHeight="1" x14ac:dyDescent="0.25">
      <c r="A3" s="5"/>
      <c r="B3" s="1"/>
      <c r="C3" s="2"/>
      <c r="D3" s="3"/>
      <c r="E3" s="3"/>
      <c r="F3" s="3"/>
      <c r="G3" s="3"/>
      <c r="K3" s="3"/>
      <c r="M3" s="3"/>
      <c r="N3" s="3"/>
      <c r="O3" s="3"/>
      <c r="P3" s="3"/>
      <c r="Q3" s="3"/>
      <c r="R3" s="3"/>
      <c r="S3" s="4"/>
    </row>
    <row r="4" spans="1:19" ht="15.75" x14ac:dyDescent="0.25">
      <c r="A4" s="79" t="s">
        <v>23</v>
      </c>
      <c r="B4" s="6"/>
      <c r="C4" s="7"/>
      <c r="D4" s="6"/>
      <c r="E4" s="6"/>
      <c r="F4" s="6"/>
      <c r="G4" s="6"/>
      <c r="K4" s="6"/>
      <c r="M4" s="6"/>
      <c r="N4" s="6"/>
      <c r="O4" s="6"/>
      <c r="P4" s="6"/>
      <c r="Q4" s="6"/>
      <c r="R4" s="6"/>
      <c r="S4" s="4"/>
    </row>
    <row r="5" spans="1:19" ht="14.25" customHeight="1" x14ac:dyDescent="0.25">
      <c r="A5" s="5" t="s">
        <v>21</v>
      </c>
      <c r="B5" s="1"/>
      <c r="C5" s="2"/>
      <c r="D5" s="3"/>
      <c r="E5" s="3"/>
      <c r="F5" s="3"/>
      <c r="G5" s="3"/>
      <c r="K5" s="3"/>
      <c r="M5" s="3"/>
      <c r="N5" s="3"/>
      <c r="O5" s="3"/>
      <c r="P5" s="3"/>
      <c r="Q5" s="3"/>
      <c r="R5" s="3"/>
      <c r="S5" s="4"/>
    </row>
    <row r="6" spans="1:19" ht="15.75" x14ac:dyDescent="0.25">
      <c r="A6" s="79" t="s">
        <v>52</v>
      </c>
      <c r="B6" s="1"/>
      <c r="C6" s="2"/>
      <c r="D6" s="3"/>
      <c r="E6" s="3"/>
      <c r="F6" s="3"/>
      <c r="G6" s="3"/>
      <c r="K6" s="3"/>
      <c r="M6" s="3"/>
      <c r="N6" s="3"/>
      <c r="O6" s="3"/>
      <c r="P6" s="3"/>
      <c r="Q6" s="3"/>
      <c r="R6" s="3"/>
      <c r="S6" s="4"/>
    </row>
    <row r="7" spans="1:19" ht="14.25" customHeight="1" x14ac:dyDescent="0.25">
      <c r="A7" s="1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</row>
    <row r="8" spans="1:19" ht="14.25" customHeight="1" x14ac:dyDescent="0.25">
      <c r="A8" s="188" t="s">
        <v>0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90"/>
    </row>
    <row r="9" spans="1:19" ht="14.25" customHeight="1" thickBot="1" x14ac:dyDescent="0.3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4"/>
    </row>
    <row r="10" spans="1:19" ht="14.25" customHeight="1" x14ac:dyDescent="0.25">
      <c r="A10" s="191" t="s">
        <v>1</v>
      </c>
      <c r="B10" s="193" t="s">
        <v>2</v>
      </c>
      <c r="C10" s="195" t="s">
        <v>3</v>
      </c>
      <c r="D10" s="196" t="s">
        <v>57</v>
      </c>
      <c r="E10" s="197"/>
      <c r="F10" s="198" t="s">
        <v>58</v>
      </c>
      <c r="G10" s="197"/>
      <c r="H10" s="196" t="s">
        <v>25</v>
      </c>
      <c r="I10" s="199"/>
      <c r="J10" s="198" t="s">
        <v>54</v>
      </c>
      <c r="K10" s="197"/>
      <c r="L10" s="198"/>
      <c r="M10" s="197"/>
      <c r="N10" s="198"/>
      <c r="O10" s="197"/>
      <c r="P10" s="198"/>
      <c r="Q10" s="197"/>
      <c r="R10" s="198" t="s">
        <v>4</v>
      </c>
      <c r="S10" s="197"/>
    </row>
    <row r="11" spans="1:19" ht="14.25" customHeight="1" thickBot="1" x14ac:dyDescent="0.3">
      <c r="A11" s="192"/>
      <c r="B11" s="194"/>
      <c r="C11" s="194"/>
      <c r="D11" s="8" t="s">
        <v>5</v>
      </c>
      <c r="E11" s="9" t="s">
        <v>6</v>
      </c>
      <c r="F11" s="10" t="s">
        <v>5</v>
      </c>
      <c r="G11" s="9" t="s">
        <v>6</v>
      </c>
      <c r="H11" s="8" t="s">
        <v>5</v>
      </c>
      <c r="I11" s="11" t="s">
        <v>6</v>
      </c>
      <c r="J11" s="10" t="s">
        <v>5</v>
      </c>
      <c r="K11" s="9" t="s">
        <v>6</v>
      </c>
      <c r="L11" s="10" t="s">
        <v>5</v>
      </c>
      <c r="M11" s="9" t="s">
        <v>6</v>
      </c>
      <c r="N11" s="10" t="s">
        <v>5</v>
      </c>
      <c r="O11" s="9" t="s">
        <v>6</v>
      </c>
      <c r="P11" s="10" t="s">
        <v>5</v>
      </c>
      <c r="Q11" s="9" t="s">
        <v>6</v>
      </c>
      <c r="R11" s="10" t="s">
        <v>5</v>
      </c>
      <c r="S11" s="9" t="s">
        <v>6</v>
      </c>
    </row>
    <row r="12" spans="1:19" ht="14.25" customHeight="1" x14ac:dyDescent="0.25">
      <c r="A12" s="12" t="s">
        <v>53</v>
      </c>
      <c r="B12" s="13" t="s">
        <v>19</v>
      </c>
      <c r="C12" s="14">
        <v>6</v>
      </c>
      <c r="D12" s="15">
        <v>29916</v>
      </c>
      <c r="E12" s="16">
        <f t="shared" ref="E12:E47" si="0">C12*D12</f>
        <v>179496</v>
      </c>
      <c r="F12" s="17">
        <f>29800/1.21</f>
        <v>24628.099173553721</v>
      </c>
      <c r="G12" s="18">
        <f t="shared" ref="G12:G47" si="1">C12*F12</f>
        <v>147768.59504132232</v>
      </c>
      <c r="H12" s="15"/>
      <c r="I12" s="19">
        <f t="shared" ref="I12:I47" si="2">C12*H12</f>
        <v>0</v>
      </c>
      <c r="J12" s="17">
        <v>26918.75</v>
      </c>
      <c r="K12" s="18">
        <f t="shared" ref="K12:K48" si="3">C12*J12</f>
        <v>161512.5</v>
      </c>
      <c r="L12" s="17"/>
      <c r="M12" s="18">
        <f t="shared" ref="M12:M48" si="4">C12*L12</f>
        <v>0</v>
      </c>
      <c r="N12" s="17"/>
      <c r="O12" s="18">
        <f t="shared" ref="O12:O48" si="5">C12*N12</f>
        <v>0</v>
      </c>
      <c r="P12" s="17"/>
      <c r="Q12" s="18">
        <f t="shared" ref="Q12:Q48" si="6">C12*P12</f>
        <v>0</v>
      </c>
      <c r="R12" s="20">
        <f t="shared" ref="R12:R48" si="7">MIN(D12,F12,H12,J12,N12,L12,P12)</f>
        <v>24628.099173553721</v>
      </c>
      <c r="S12" s="21">
        <f t="shared" ref="S12:S48" si="8">R12*C12</f>
        <v>147768.59504132232</v>
      </c>
    </row>
    <row r="13" spans="1:19" ht="14.25" customHeight="1" x14ac:dyDescent="0.25">
      <c r="A13" s="12"/>
      <c r="B13" s="13"/>
      <c r="C13" s="14"/>
      <c r="D13" s="15"/>
      <c r="E13" s="16">
        <f t="shared" si="0"/>
        <v>0</v>
      </c>
      <c r="F13" s="17"/>
      <c r="G13" s="18">
        <f t="shared" si="1"/>
        <v>0</v>
      </c>
      <c r="H13" s="17"/>
      <c r="I13" s="19">
        <f t="shared" si="2"/>
        <v>0</v>
      </c>
      <c r="J13" s="17"/>
      <c r="K13" s="18">
        <f t="shared" si="3"/>
        <v>0</v>
      </c>
      <c r="L13" s="17"/>
      <c r="M13" s="18">
        <f t="shared" si="4"/>
        <v>0</v>
      </c>
      <c r="N13" s="17"/>
      <c r="O13" s="18">
        <f t="shared" si="5"/>
        <v>0</v>
      </c>
      <c r="P13" s="17"/>
      <c r="Q13" s="18">
        <f t="shared" si="6"/>
        <v>0</v>
      </c>
      <c r="R13" s="20">
        <f t="shared" si="7"/>
        <v>0</v>
      </c>
      <c r="S13" s="21">
        <f t="shared" si="8"/>
        <v>0</v>
      </c>
    </row>
    <row r="14" spans="1:19" ht="14.25" customHeight="1" x14ac:dyDescent="0.25">
      <c r="A14" s="12"/>
      <c r="B14" s="13"/>
      <c r="C14" s="14"/>
      <c r="D14" s="15"/>
      <c r="E14" s="16">
        <f t="shared" si="0"/>
        <v>0</v>
      </c>
      <c r="F14" s="17"/>
      <c r="G14" s="18">
        <f t="shared" si="1"/>
        <v>0</v>
      </c>
      <c r="H14" s="17"/>
      <c r="I14" s="19">
        <f t="shared" si="2"/>
        <v>0</v>
      </c>
      <c r="J14" s="17"/>
      <c r="K14" s="18">
        <f t="shared" si="3"/>
        <v>0</v>
      </c>
      <c r="L14" s="17"/>
      <c r="M14" s="18">
        <f t="shared" si="4"/>
        <v>0</v>
      </c>
      <c r="N14" s="17"/>
      <c r="O14" s="18">
        <f t="shared" si="5"/>
        <v>0</v>
      </c>
      <c r="P14" s="17"/>
      <c r="Q14" s="18">
        <f t="shared" si="6"/>
        <v>0</v>
      </c>
      <c r="R14" s="20">
        <f t="shared" si="7"/>
        <v>0</v>
      </c>
      <c r="S14" s="21">
        <f t="shared" si="8"/>
        <v>0</v>
      </c>
    </row>
    <row r="15" spans="1:19" ht="14.25" customHeight="1" x14ac:dyDescent="0.25">
      <c r="A15" s="12"/>
      <c r="B15" s="13"/>
      <c r="C15" s="14"/>
      <c r="D15" s="15"/>
      <c r="E15" s="16">
        <f t="shared" si="0"/>
        <v>0</v>
      </c>
      <c r="F15" s="17"/>
      <c r="G15" s="18">
        <f t="shared" si="1"/>
        <v>0</v>
      </c>
      <c r="H15" s="17"/>
      <c r="I15" s="19">
        <f t="shared" si="2"/>
        <v>0</v>
      </c>
      <c r="J15" s="17"/>
      <c r="K15" s="18">
        <f t="shared" si="3"/>
        <v>0</v>
      </c>
      <c r="L15" s="17"/>
      <c r="M15" s="18">
        <f t="shared" si="4"/>
        <v>0</v>
      </c>
      <c r="N15" s="17"/>
      <c r="O15" s="18">
        <f t="shared" si="5"/>
        <v>0</v>
      </c>
      <c r="P15" s="17"/>
      <c r="Q15" s="18">
        <f t="shared" si="6"/>
        <v>0</v>
      </c>
      <c r="R15" s="20">
        <f t="shared" si="7"/>
        <v>0</v>
      </c>
      <c r="S15" s="21">
        <f t="shared" si="8"/>
        <v>0</v>
      </c>
    </row>
    <row r="16" spans="1:19" ht="14.25" customHeight="1" x14ac:dyDescent="0.25">
      <c r="A16" s="12"/>
      <c r="B16" s="13"/>
      <c r="C16" s="14"/>
      <c r="D16" s="15"/>
      <c r="E16" s="16">
        <f t="shared" si="0"/>
        <v>0</v>
      </c>
      <c r="F16" s="17"/>
      <c r="G16" s="18">
        <f t="shared" si="1"/>
        <v>0</v>
      </c>
      <c r="H16" s="17"/>
      <c r="I16" s="19">
        <f t="shared" si="2"/>
        <v>0</v>
      </c>
      <c r="J16" s="17"/>
      <c r="K16" s="18">
        <f t="shared" si="3"/>
        <v>0</v>
      </c>
      <c r="L16" s="17"/>
      <c r="M16" s="18">
        <f t="shared" si="4"/>
        <v>0</v>
      </c>
      <c r="N16" s="17"/>
      <c r="O16" s="18">
        <f t="shared" si="5"/>
        <v>0</v>
      </c>
      <c r="P16" s="17"/>
      <c r="Q16" s="18">
        <f t="shared" si="6"/>
        <v>0</v>
      </c>
      <c r="R16" s="20">
        <f t="shared" si="7"/>
        <v>0</v>
      </c>
      <c r="S16" s="21">
        <f t="shared" si="8"/>
        <v>0</v>
      </c>
    </row>
    <row r="17" spans="1:19" ht="14.25" customHeight="1" x14ac:dyDescent="0.25">
      <c r="A17" s="12"/>
      <c r="B17" s="13"/>
      <c r="C17" s="14"/>
      <c r="D17" s="15"/>
      <c r="E17" s="16">
        <f t="shared" si="0"/>
        <v>0</v>
      </c>
      <c r="F17" s="17"/>
      <c r="G17" s="18">
        <f t="shared" si="1"/>
        <v>0</v>
      </c>
      <c r="H17" s="17"/>
      <c r="I17" s="19">
        <f t="shared" si="2"/>
        <v>0</v>
      </c>
      <c r="J17" s="17"/>
      <c r="K17" s="18">
        <f t="shared" si="3"/>
        <v>0</v>
      </c>
      <c r="L17" s="17"/>
      <c r="M17" s="18">
        <f t="shared" si="4"/>
        <v>0</v>
      </c>
      <c r="N17" s="17"/>
      <c r="O17" s="18">
        <f t="shared" si="5"/>
        <v>0</v>
      </c>
      <c r="P17" s="17"/>
      <c r="Q17" s="18">
        <f t="shared" si="6"/>
        <v>0</v>
      </c>
      <c r="R17" s="20">
        <f t="shared" si="7"/>
        <v>0</v>
      </c>
      <c r="S17" s="21">
        <f t="shared" si="8"/>
        <v>0</v>
      </c>
    </row>
    <row r="18" spans="1:19" ht="14.25" hidden="1" customHeight="1" x14ac:dyDescent="0.25">
      <c r="A18" s="12"/>
      <c r="B18" s="13"/>
      <c r="C18" s="14"/>
      <c r="D18" s="15"/>
      <c r="E18" s="16">
        <f t="shared" si="0"/>
        <v>0</v>
      </c>
      <c r="F18" s="17"/>
      <c r="G18" s="18">
        <f t="shared" si="1"/>
        <v>0</v>
      </c>
      <c r="H18" s="17"/>
      <c r="I18" s="19">
        <f t="shared" si="2"/>
        <v>0</v>
      </c>
      <c r="J18" s="17"/>
      <c r="K18" s="18">
        <f t="shared" si="3"/>
        <v>0</v>
      </c>
      <c r="L18" s="17"/>
      <c r="M18" s="18">
        <f t="shared" si="4"/>
        <v>0</v>
      </c>
      <c r="N18" s="17"/>
      <c r="O18" s="18">
        <f t="shared" si="5"/>
        <v>0</v>
      </c>
      <c r="P18" s="17"/>
      <c r="Q18" s="18">
        <f t="shared" si="6"/>
        <v>0</v>
      </c>
      <c r="R18" s="20">
        <f t="shared" si="7"/>
        <v>0</v>
      </c>
      <c r="S18" s="21">
        <f t="shared" si="8"/>
        <v>0</v>
      </c>
    </row>
    <row r="19" spans="1:19" ht="14.25" hidden="1" customHeight="1" x14ac:dyDescent="0.25">
      <c r="A19" s="12"/>
      <c r="B19" s="13"/>
      <c r="C19" s="14"/>
      <c r="D19" s="15"/>
      <c r="E19" s="16">
        <f t="shared" si="0"/>
        <v>0</v>
      </c>
      <c r="F19" s="17"/>
      <c r="G19" s="18">
        <f t="shared" si="1"/>
        <v>0</v>
      </c>
      <c r="H19" s="17"/>
      <c r="I19" s="19">
        <f t="shared" si="2"/>
        <v>0</v>
      </c>
      <c r="J19" s="17"/>
      <c r="K19" s="18">
        <f t="shared" si="3"/>
        <v>0</v>
      </c>
      <c r="L19" s="17"/>
      <c r="M19" s="18">
        <f t="shared" si="4"/>
        <v>0</v>
      </c>
      <c r="N19" s="17"/>
      <c r="O19" s="18">
        <f t="shared" si="5"/>
        <v>0</v>
      </c>
      <c r="P19" s="17"/>
      <c r="Q19" s="18">
        <f t="shared" si="6"/>
        <v>0</v>
      </c>
      <c r="R19" s="20">
        <f t="shared" si="7"/>
        <v>0</v>
      </c>
      <c r="S19" s="21">
        <f t="shared" si="8"/>
        <v>0</v>
      </c>
    </row>
    <row r="20" spans="1:19" ht="14.25" hidden="1" customHeight="1" x14ac:dyDescent="0.25">
      <c r="A20" s="23"/>
      <c r="B20" s="13"/>
      <c r="C20" s="14"/>
      <c r="D20" s="15"/>
      <c r="E20" s="16">
        <f t="shared" si="0"/>
        <v>0</v>
      </c>
      <c r="F20" s="17"/>
      <c r="G20" s="18">
        <f t="shared" si="1"/>
        <v>0</v>
      </c>
      <c r="H20" s="17"/>
      <c r="I20" s="19">
        <f t="shared" si="2"/>
        <v>0</v>
      </c>
      <c r="J20" s="17"/>
      <c r="K20" s="18">
        <f t="shared" si="3"/>
        <v>0</v>
      </c>
      <c r="L20" s="17"/>
      <c r="M20" s="18">
        <f t="shared" si="4"/>
        <v>0</v>
      </c>
      <c r="N20" s="17"/>
      <c r="O20" s="18">
        <f t="shared" si="5"/>
        <v>0</v>
      </c>
      <c r="P20" s="17"/>
      <c r="Q20" s="18">
        <f t="shared" si="6"/>
        <v>0</v>
      </c>
      <c r="R20" s="20">
        <f t="shared" si="7"/>
        <v>0</v>
      </c>
      <c r="S20" s="21">
        <f t="shared" si="8"/>
        <v>0</v>
      </c>
    </row>
    <row r="21" spans="1:19" ht="14.25" hidden="1" customHeight="1" x14ac:dyDescent="0.25">
      <c r="A21" s="23"/>
      <c r="B21" s="13"/>
      <c r="C21" s="14"/>
      <c r="D21" s="15"/>
      <c r="E21" s="16">
        <f t="shared" si="0"/>
        <v>0</v>
      </c>
      <c r="F21" s="17"/>
      <c r="G21" s="18">
        <f t="shared" si="1"/>
        <v>0</v>
      </c>
      <c r="H21" s="17"/>
      <c r="I21" s="19">
        <f t="shared" si="2"/>
        <v>0</v>
      </c>
      <c r="J21" s="17"/>
      <c r="K21" s="18">
        <f t="shared" si="3"/>
        <v>0</v>
      </c>
      <c r="L21" s="17"/>
      <c r="M21" s="18">
        <f t="shared" si="4"/>
        <v>0</v>
      </c>
      <c r="N21" s="17"/>
      <c r="O21" s="18">
        <f t="shared" si="5"/>
        <v>0</v>
      </c>
      <c r="P21" s="17"/>
      <c r="Q21" s="18">
        <f t="shared" si="6"/>
        <v>0</v>
      </c>
      <c r="R21" s="20">
        <f t="shared" si="7"/>
        <v>0</v>
      </c>
      <c r="S21" s="21">
        <f t="shared" si="8"/>
        <v>0</v>
      </c>
    </row>
    <row r="22" spans="1:19" ht="14.25" hidden="1" customHeight="1" x14ac:dyDescent="0.25">
      <c r="A22" s="23"/>
      <c r="B22" s="13"/>
      <c r="C22" s="14"/>
      <c r="D22" s="15"/>
      <c r="E22" s="16">
        <f t="shared" si="0"/>
        <v>0</v>
      </c>
      <c r="F22" s="17"/>
      <c r="G22" s="18">
        <f t="shared" si="1"/>
        <v>0</v>
      </c>
      <c r="H22" s="17"/>
      <c r="I22" s="19">
        <f t="shared" si="2"/>
        <v>0</v>
      </c>
      <c r="J22" s="17"/>
      <c r="K22" s="18">
        <f t="shared" si="3"/>
        <v>0</v>
      </c>
      <c r="L22" s="17"/>
      <c r="M22" s="18">
        <f t="shared" si="4"/>
        <v>0</v>
      </c>
      <c r="N22" s="17"/>
      <c r="O22" s="18">
        <f t="shared" si="5"/>
        <v>0</v>
      </c>
      <c r="P22" s="17"/>
      <c r="Q22" s="18">
        <f t="shared" si="6"/>
        <v>0</v>
      </c>
      <c r="R22" s="20">
        <f t="shared" si="7"/>
        <v>0</v>
      </c>
      <c r="S22" s="21">
        <f t="shared" si="8"/>
        <v>0</v>
      </c>
    </row>
    <row r="23" spans="1:19" ht="14.25" hidden="1" customHeight="1" x14ac:dyDescent="0.25">
      <c r="A23" s="23"/>
      <c r="B23" s="13"/>
      <c r="C23" s="14"/>
      <c r="D23" s="15"/>
      <c r="E23" s="16">
        <f t="shared" si="0"/>
        <v>0</v>
      </c>
      <c r="F23" s="17"/>
      <c r="G23" s="18">
        <f t="shared" si="1"/>
        <v>0</v>
      </c>
      <c r="H23" s="17"/>
      <c r="I23" s="19">
        <f t="shared" si="2"/>
        <v>0</v>
      </c>
      <c r="J23" s="17"/>
      <c r="K23" s="18">
        <f t="shared" si="3"/>
        <v>0</v>
      </c>
      <c r="L23" s="17"/>
      <c r="M23" s="18">
        <f t="shared" si="4"/>
        <v>0</v>
      </c>
      <c r="N23" s="17"/>
      <c r="O23" s="18">
        <f t="shared" si="5"/>
        <v>0</v>
      </c>
      <c r="P23" s="17"/>
      <c r="Q23" s="18">
        <f t="shared" si="6"/>
        <v>0</v>
      </c>
      <c r="R23" s="20">
        <f t="shared" si="7"/>
        <v>0</v>
      </c>
      <c r="S23" s="21">
        <f t="shared" si="8"/>
        <v>0</v>
      </c>
    </row>
    <row r="24" spans="1:19" ht="14.25" hidden="1" customHeight="1" x14ac:dyDescent="0.25">
      <c r="A24" s="23"/>
      <c r="B24" s="13"/>
      <c r="C24" s="14"/>
      <c r="D24" s="15"/>
      <c r="E24" s="16">
        <f t="shared" si="0"/>
        <v>0</v>
      </c>
      <c r="F24" s="17"/>
      <c r="G24" s="18">
        <f t="shared" si="1"/>
        <v>0</v>
      </c>
      <c r="H24" s="17"/>
      <c r="I24" s="19">
        <f t="shared" si="2"/>
        <v>0</v>
      </c>
      <c r="J24" s="17"/>
      <c r="K24" s="18">
        <f t="shared" si="3"/>
        <v>0</v>
      </c>
      <c r="L24" s="17"/>
      <c r="M24" s="18">
        <f t="shared" si="4"/>
        <v>0</v>
      </c>
      <c r="N24" s="17"/>
      <c r="O24" s="18">
        <f t="shared" si="5"/>
        <v>0</v>
      </c>
      <c r="P24" s="17"/>
      <c r="Q24" s="18">
        <f t="shared" si="6"/>
        <v>0</v>
      </c>
      <c r="R24" s="20">
        <f t="shared" si="7"/>
        <v>0</v>
      </c>
      <c r="S24" s="21">
        <f t="shared" si="8"/>
        <v>0</v>
      </c>
    </row>
    <row r="25" spans="1:19" ht="14.25" hidden="1" customHeight="1" x14ac:dyDescent="0.25">
      <c r="A25" s="23"/>
      <c r="B25" s="13"/>
      <c r="C25" s="14"/>
      <c r="D25" s="15"/>
      <c r="E25" s="16">
        <f t="shared" si="0"/>
        <v>0</v>
      </c>
      <c r="F25" s="17"/>
      <c r="G25" s="18">
        <f t="shared" si="1"/>
        <v>0</v>
      </c>
      <c r="H25" s="17"/>
      <c r="I25" s="19">
        <f t="shared" si="2"/>
        <v>0</v>
      </c>
      <c r="J25" s="17"/>
      <c r="K25" s="18">
        <f t="shared" si="3"/>
        <v>0</v>
      </c>
      <c r="L25" s="17"/>
      <c r="M25" s="18">
        <f t="shared" si="4"/>
        <v>0</v>
      </c>
      <c r="N25" s="17"/>
      <c r="O25" s="18">
        <f t="shared" si="5"/>
        <v>0</v>
      </c>
      <c r="P25" s="17"/>
      <c r="Q25" s="18">
        <f t="shared" si="6"/>
        <v>0</v>
      </c>
      <c r="R25" s="20">
        <f t="shared" si="7"/>
        <v>0</v>
      </c>
      <c r="S25" s="21">
        <f t="shared" si="8"/>
        <v>0</v>
      </c>
    </row>
    <row r="26" spans="1:19" ht="14.25" hidden="1" customHeight="1" x14ac:dyDescent="0.25">
      <c r="A26" s="23"/>
      <c r="B26" s="13"/>
      <c r="C26" s="14"/>
      <c r="D26" s="15"/>
      <c r="E26" s="16">
        <f t="shared" si="0"/>
        <v>0</v>
      </c>
      <c r="F26" s="17"/>
      <c r="G26" s="18">
        <f t="shared" si="1"/>
        <v>0</v>
      </c>
      <c r="H26" s="17"/>
      <c r="I26" s="19">
        <f t="shared" si="2"/>
        <v>0</v>
      </c>
      <c r="J26" s="17"/>
      <c r="K26" s="18">
        <f t="shared" si="3"/>
        <v>0</v>
      </c>
      <c r="L26" s="17"/>
      <c r="M26" s="18">
        <f t="shared" si="4"/>
        <v>0</v>
      </c>
      <c r="N26" s="17"/>
      <c r="O26" s="18">
        <f t="shared" si="5"/>
        <v>0</v>
      </c>
      <c r="P26" s="17"/>
      <c r="Q26" s="18">
        <f t="shared" si="6"/>
        <v>0</v>
      </c>
      <c r="R26" s="20">
        <f t="shared" si="7"/>
        <v>0</v>
      </c>
      <c r="S26" s="21">
        <f t="shared" si="8"/>
        <v>0</v>
      </c>
    </row>
    <row r="27" spans="1:19" ht="14.25" hidden="1" customHeight="1" x14ac:dyDescent="0.25">
      <c r="A27" s="23"/>
      <c r="B27" s="13"/>
      <c r="C27" s="14"/>
      <c r="D27" s="15"/>
      <c r="E27" s="16">
        <f t="shared" si="0"/>
        <v>0</v>
      </c>
      <c r="F27" s="17"/>
      <c r="G27" s="18">
        <f t="shared" si="1"/>
        <v>0</v>
      </c>
      <c r="H27" s="17"/>
      <c r="I27" s="19">
        <f t="shared" si="2"/>
        <v>0</v>
      </c>
      <c r="J27" s="17"/>
      <c r="K27" s="18">
        <f t="shared" si="3"/>
        <v>0</v>
      </c>
      <c r="L27" s="17"/>
      <c r="M27" s="18">
        <f t="shared" si="4"/>
        <v>0</v>
      </c>
      <c r="N27" s="17"/>
      <c r="O27" s="18">
        <f t="shared" si="5"/>
        <v>0</v>
      </c>
      <c r="P27" s="17"/>
      <c r="Q27" s="18">
        <f t="shared" si="6"/>
        <v>0</v>
      </c>
      <c r="R27" s="20">
        <f t="shared" si="7"/>
        <v>0</v>
      </c>
      <c r="S27" s="21">
        <f t="shared" si="8"/>
        <v>0</v>
      </c>
    </row>
    <row r="28" spans="1:19" ht="14.25" hidden="1" customHeight="1" x14ac:dyDescent="0.25">
      <c r="A28" s="23"/>
      <c r="B28" s="13"/>
      <c r="C28" s="14"/>
      <c r="D28" s="15"/>
      <c r="E28" s="16">
        <f t="shared" si="0"/>
        <v>0</v>
      </c>
      <c r="F28" s="17"/>
      <c r="G28" s="18">
        <f t="shared" si="1"/>
        <v>0</v>
      </c>
      <c r="H28" s="17"/>
      <c r="I28" s="19">
        <f t="shared" si="2"/>
        <v>0</v>
      </c>
      <c r="J28" s="17"/>
      <c r="K28" s="18">
        <f t="shared" si="3"/>
        <v>0</v>
      </c>
      <c r="L28" s="17"/>
      <c r="M28" s="18">
        <f t="shared" si="4"/>
        <v>0</v>
      </c>
      <c r="N28" s="17"/>
      <c r="O28" s="18">
        <f t="shared" si="5"/>
        <v>0</v>
      </c>
      <c r="P28" s="17"/>
      <c r="Q28" s="18">
        <f t="shared" si="6"/>
        <v>0</v>
      </c>
      <c r="R28" s="20">
        <f t="shared" si="7"/>
        <v>0</v>
      </c>
      <c r="S28" s="21">
        <f t="shared" si="8"/>
        <v>0</v>
      </c>
    </row>
    <row r="29" spans="1:19" ht="14.25" hidden="1" customHeight="1" x14ac:dyDescent="0.25">
      <c r="A29" s="23"/>
      <c r="B29" s="13"/>
      <c r="C29" s="14"/>
      <c r="D29" s="15"/>
      <c r="E29" s="16">
        <f t="shared" si="0"/>
        <v>0</v>
      </c>
      <c r="F29" s="17"/>
      <c r="G29" s="18">
        <f t="shared" si="1"/>
        <v>0</v>
      </c>
      <c r="H29" s="17"/>
      <c r="I29" s="19">
        <f t="shared" si="2"/>
        <v>0</v>
      </c>
      <c r="J29" s="17"/>
      <c r="K29" s="18">
        <f t="shared" si="3"/>
        <v>0</v>
      </c>
      <c r="L29" s="17"/>
      <c r="M29" s="18">
        <f t="shared" si="4"/>
        <v>0</v>
      </c>
      <c r="N29" s="17"/>
      <c r="O29" s="18">
        <f t="shared" si="5"/>
        <v>0</v>
      </c>
      <c r="P29" s="17"/>
      <c r="Q29" s="18">
        <f t="shared" si="6"/>
        <v>0</v>
      </c>
      <c r="R29" s="20">
        <f t="shared" si="7"/>
        <v>0</v>
      </c>
      <c r="S29" s="21">
        <f t="shared" si="8"/>
        <v>0</v>
      </c>
    </row>
    <row r="30" spans="1:19" ht="14.25" hidden="1" customHeight="1" x14ac:dyDescent="0.25">
      <c r="A30" s="12"/>
      <c r="B30" s="13"/>
      <c r="C30" s="14"/>
      <c r="D30" s="15"/>
      <c r="E30" s="16">
        <f t="shared" si="0"/>
        <v>0</v>
      </c>
      <c r="F30" s="17"/>
      <c r="G30" s="18">
        <f t="shared" si="1"/>
        <v>0</v>
      </c>
      <c r="H30" s="17"/>
      <c r="I30" s="19">
        <f t="shared" si="2"/>
        <v>0</v>
      </c>
      <c r="J30" s="17"/>
      <c r="K30" s="18"/>
      <c r="L30" s="17"/>
      <c r="M30" s="18">
        <f t="shared" si="4"/>
        <v>0</v>
      </c>
      <c r="N30" s="17"/>
      <c r="O30" s="18">
        <f t="shared" si="5"/>
        <v>0</v>
      </c>
      <c r="P30" s="17"/>
      <c r="Q30" s="18">
        <f t="shared" si="6"/>
        <v>0</v>
      </c>
      <c r="R30" s="20">
        <f t="shared" si="7"/>
        <v>0</v>
      </c>
      <c r="S30" s="21">
        <f t="shared" si="8"/>
        <v>0</v>
      </c>
    </row>
    <row r="31" spans="1:19" ht="14.25" hidden="1" customHeight="1" x14ac:dyDescent="0.25">
      <c r="A31" s="12"/>
      <c r="B31" s="13"/>
      <c r="C31" s="14"/>
      <c r="D31" s="15"/>
      <c r="E31" s="16">
        <f t="shared" si="0"/>
        <v>0</v>
      </c>
      <c r="F31" s="17"/>
      <c r="G31" s="18">
        <f t="shared" si="1"/>
        <v>0</v>
      </c>
      <c r="H31" s="17"/>
      <c r="I31" s="19">
        <f t="shared" si="2"/>
        <v>0</v>
      </c>
      <c r="J31" s="17"/>
      <c r="K31" s="18">
        <f t="shared" si="3"/>
        <v>0</v>
      </c>
      <c r="L31" s="17"/>
      <c r="M31" s="18">
        <f t="shared" si="4"/>
        <v>0</v>
      </c>
      <c r="N31" s="17"/>
      <c r="O31" s="18">
        <f t="shared" si="5"/>
        <v>0</v>
      </c>
      <c r="P31" s="17"/>
      <c r="Q31" s="18">
        <f t="shared" si="6"/>
        <v>0</v>
      </c>
      <c r="R31" s="20">
        <f t="shared" si="7"/>
        <v>0</v>
      </c>
      <c r="S31" s="21">
        <f t="shared" si="8"/>
        <v>0</v>
      </c>
    </row>
    <row r="32" spans="1:19" ht="14.25" hidden="1" customHeight="1" x14ac:dyDescent="0.25">
      <c r="A32" s="12"/>
      <c r="B32" s="13"/>
      <c r="C32" s="14"/>
      <c r="D32" s="15"/>
      <c r="E32" s="16">
        <f t="shared" si="0"/>
        <v>0</v>
      </c>
      <c r="F32" s="17"/>
      <c r="G32" s="18">
        <f t="shared" si="1"/>
        <v>0</v>
      </c>
      <c r="H32" s="17"/>
      <c r="I32" s="19">
        <f t="shared" si="2"/>
        <v>0</v>
      </c>
      <c r="J32" s="17"/>
      <c r="K32" s="18">
        <f t="shared" si="3"/>
        <v>0</v>
      </c>
      <c r="L32" s="17"/>
      <c r="M32" s="18">
        <f t="shared" si="4"/>
        <v>0</v>
      </c>
      <c r="N32" s="17"/>
      <c r="O32" s="18">
        <f t="shared" si="5"/>
        <v>0</v>
      </c>
      <c r="P32" s="17"/>
      <c r="Q32" s="18">
        <f t="shared" si="6"/>
        <v>0</v>
      </c>
      <c r="R32" s="20">
        <f t="shared" si="7"/>
        <v>0</v>
      </c>
      <c r="S32" s="21">
        <f t="shared" si="8"/>
        <v>0</v>
      </c>
    </row>
    <row r="33" spans="1:19" ht="14.25" hidden="1" customHeight="1" x14ac:dyDescent="0.25">
      <c r="A33" s="12"/>
      <c r="B33" s="13"/>
      <c r="C33" s="14"/>
      <c r="D33" s="15"/>
      <c r="E33" s="16">
        <f t="shared" si="0"/>
        <v>0</v>
      </c>
      <c r="F33" s="17"/>
      <c r="G33" s="18">
        <f t="shared" si="1"/>
        <v>0</v>
      </c>
      <c r="H33" s="17"/>
      <c r="I33" s="19">
        <f t="shared" si="2"/>
        <v>0</v>
      </c>
      <c r="J33" s="17"/>
      <c r="K33" s="18">
        <f t="shared" si="3"/>
        <v>0</v>
      </c>
      <c r="L33" s="17"/>
      <c r="M33" s="18">
        <f t="shared" si="4"/>
        <v>0</v>
      </c>
      <c r="N33" s="17"/>
      <c r="O33" s="18">
        <f t="shared" si="5"/>
        <v>0</v>
      </c>
      <c r="P33" s="17"/>
      <c r="Q33" s="18">
        <f t="shared" si="6"/>
        <v>0</v>
      </c>
      <c r="R33" s="20">
        <f t="shared" si="7"/>
        <v>0</v>
      </c>
      <c r="S33" s="21">
        <f t="shared" si="8"/>
        <v>0</v>
      </c>
    </row>
    <row r="34" spans="1:19" ht="14.25" hidden="1" customHeight="1" x14ac:dyDescent="0.25">
      <c r="A34" s="12"/>
      <c r="B34" s="13"/>
      <c r="C34" s="14"/>
      <c r="D34" s="15"/>
      <c r="E34" s="16">
        <f t="shared" si="0"/>
        <v>0</v>
      </c>
      <c r="F34" s="17"/>
      <c r="G34" s="18">
        <f t="shared" si="1"/>
        <v>0</v>
      </c>
      <c r="H34" s="17"/>
      <c r="I34" s="19">
        <f t="shared" si="2"/>
        <v>0</v>
      </c>
      <c r="J34" s="17"/>
      <c r="K34" s="18">
        <f t="shared" si="3"/>
        <v>0</v>
      </c>
      <c r="L34" s="17"/>
      <c r="M34" s="18">
        <f t="shared" si="4"/>
        <v>0</v>
      </c>
      <c r="N34" s="17"/>
      <c r="O34" s="18">
        <f t="shared" si="5"/>
        <v>0</v>
      </c>
      <c r="P34" s="17"/>
      <c r="Q34" s="18">
        <f t="shared" si="6"/>
        <v>0</v>
      </c>
      <c r="R34" s="20">
        <f t="shared" si="7"/>
        <v>0</v>
      </c>
      <c r="S34" s="21">
        <f t="shared" si="8"/>
        <v>0</v>
      </c>
    </row>
    <row r="35" spans="1:19" ht="14.25" hidden="1" customHeight="1" x14ac:dyDescent="0.25">
      <c r="A35" s="12"/>
      <c r="B35" s="13"/>
      <c r="C35" s="14"/>
      <c r="D35" s="15"/>
      <c r="E35" s="16">
        <f t="shared" si="0"/>
        <v>0</v>
      </c>
      <c r="F35" s="17"/>
      <c r="G35" s="18">
        <f t="shared" si="1"/>
        <v>0</v>
      </c>
      <c r="H35" s="17"/>
      <c r="I35" s="19">
        <f t="shared" si="2"/>
        <v>0</v>
      </c>
      <c r="J35" s="17"/>
      <c r="K35" s="18">
        <f t="shared" si="3"/>
        <v>0</v>
      </c>
      <c r="L35" s="17"/>
      <c r="M35" s="18">
        <f t="shared" si="4"/>
        <v>0</v>
      </c>
      <c r="N35" s="17"/>
      <c r="O35" s="18">
        <f t="shared" si="5"/>
        <v>0</v>
      </c>
      <c r="P35" s="17"/>
      <c r="Q35" s="18">
        <f t="shared" si="6"/>
        <v>0</v>
      </c>
      <c r="R35" s="20">
        <f t="shared" si="7"/>
        <v>0</v>
      </c>
      <c r="S35" s="21">
        <f t="shared" si="8"/>
        <v>0</v>
      </c>
    </row>
    <row r="36" spans="1:19" ht="14.25" hidden="1" customHeight="1" x14ac:dyDescent="0.25">
      <c r="A36" s="12"/>
      <c r="B36" s="13"/>
      <c r="C36" s="14"/>
      <c r="D36" s="15"/>
      <c r="E36" s="16">
        <f t="shared" si="0"/>
        <v>0</v>
      </c>
      <c r="F36" s="17"/>
      <c r="G36" s="18">
        <f t="shared" si="1"/>
        <v>0</v>
      </c>
      <c r="H36" s="17"/>
      <c r="I36" s="19">
        <f t="shared" si="2"/>
        <v>0</v>
      </c>
      <c r="J36" s="17"/>
      <c r="K36" s="18">
        <f t="shared" si="3"/>
        <v>0</v>
      </c>
      <c r="L36" s="17"/>
      <c r="M36" s="18">
        <f t="shared" si="4"/>
        <v>0</v>
      </c>
      <c r="N36" s="17"/>
      <c r="O36" s="18">
        <f t="shared" si="5"/>
        <v>0</v>
      </c>
      <c r="P36" s="17"/>
      <c r="Q36" s="18">
        <f t="shared" si="6"/>
        <v>0</v>
      </c>
      <c r="R36" s="20">
        <f t="shared" si="7"/>
        <v>0</v>
      </c>
      <c r="S36" s="21">
        <f t="shared" si="8"/>
        <v>0</v>
      </c>
    </row>
    <row r="37" spans="1:19" ht="14.25" hidden="1" customHeight="1" x14ac:dyDescent="0.25">
      <c r="A37" s="12"/>
      <c r="B37" s="13"/>
      <c r="C37" s="14"/>
      <c r="D37" s="15"/>
      <c r="E37" s="16">
        <f t="shared" si="0"/>
        <v>0</v>
      </c>
      <c r="F37" s="17"/>
      <c r="G37" s="18">
        <f t="shared" si="1"/>
        <v>0</v>
      </c>
      <c r="H37" s="17"/>
      <c r="I37" s="19">
        <f t="shared" si="2"/>
        <v>0</v>
      </c>
      <c r="J37" s="17"/>
      <c r="K37" s="18">
        <f t="shared" si="3"/>
        <v>0</v>
      </c>
      <c r="L37" s="17"/>
      <c r="M37" s="18">
        <f t="shared" si="4"/>
        <v>0</v>
      </c>
      <c r="N37" s="17"/>
      <c r="O37" s="18">
        <f t="shared" si="5"/>
        <v>0</v>
      </c>
      <c r="P37" s="17"/>
      <c r="Q37" s="18">
        <f t="shared" si="6"/>
        <v>0</v>
      </c>
      <c r="R37" s="20">
        <f t="shared" si="7"/>
        <v>0</v>
      </c>
      <c r="S37" s="21">
        <f t="shared" si="8"/>
        <v>0</v>
      </c>
    </row>
    <row r="38" spans="1:19" ht="14.25" hidden="1" customHeight="1" x14ac:dyDescent="0.25">
      <c r="A38" s="12"/>
      <c r="B38" s="13"/>
      <c r="C38" s="14"/>
      <c r="D38" s="15"/>
      <c r="E38" s="16">
        <f t="shared" si="0"/>
        <v>0</v>
      </c>
      <c r="F38" s="17"/>
      <c r="G38" s="18">
        <f t="shared" si="1"/>
        <v>0</v>
      </c>
      <c r="H38" s="17"/>
      <c r="I38" s="19">
        <f t="shared" si="2"/>
        <v>0</v>
      </c>
      <c r="J38" s="17"/>
      <c r="K38" s="18">
        <f t="shared" si="3"/>
        <v>0</v>
      </c>
      <c r="L38" s="17"/>
      <c r="M38" s="18">
        <f t="shared" si="4"/>
        <v>0</v>
      </c>
      <c r="N38" s="17"/>
      <c r="O38" s="18">
        <f t="shared" si="5"/>
        <v>0</v>
      </c>
      <c r="P38" s="17"/>
      <c r="Q38" s="18">
        <f t="shared" si="6"/>
        <v>0</v>
      </c>
      <c r="R38" s="20">
        <f t="shared" si="7"/>
        <v>0</v>
      </c>
      <c r="S38" s="21">
        <f t="shared" si="8"/>
        <v>0</v>
      </c>
    </row>
    <row r="39" spans="1:19" ht="14.25" hidden="1" customHeight="1" x14ac:dyDescent="0.25">
      <c r="A39" s="12"/>
      <c r="B39" s="13"/>
      <c r="C39" s="14"/>
      <c r="D39" s="15"/>
      <c r="E39" s="16">
        <f t="shared" si="0"/>
        <v>0</v>
      </c>
      <c r="F39" s="17"/>
      <c r="G39" s="18">
        <f t="shared" si="1"/>
        <v>0</v>
      </c>
      <c r="H39" s="17"/>
      <c r="I39" s="19">
        <f t="shared" si="2"/>
        <v>0</v>
      </c>
      <c r="J39" s="17"/>
      <c r="K39" s="18">
        <f t="shared" si="3"/>
        <v>0</v>
      </c>
      <c r="L39" s="17"/>
      <c r="M39" s="18">
        <f t="shared" si="4"/>
        <v>0</v>
      </c>
      <c r="N39" s="17"/>
      <c r="O39" s="18">
        <f t="shared" si="5"/>
        <v>0</v>
      </c>
      <c r="P39" s="17"/>
      <c r="Q39" s="18">
        <f t="shared" si="6"/>
        <v>0</v>
      </c>
      <c r="R39" s="20">
        <f t="shared" si="7"/>
        <v>0</v>
      </c>
      <c r="S39" s="21">
        <f t="shared" si="8"/>
        <v>0</v>
      </c>
    </row>
    <row r="40" spans="1:19" ht="14.25" hidden="1" customHeight="1" x14ac:dyDescent="0.25">
      <c r="A40" s="12"/>
      <c r="B40" s="13"/>
      <c r="C40" s="14"/>
      <c r="D40" s="15"/>
      <c r="E40" s="16">
        <f t="shared" si="0"/>
        <v>0</v>
      </c>
      <c r="F40" s="17"/>
      <c r="G40" s="18">
        <f t="shared" si="1"/>
        <v>0</v>
      </c>
      <c r="H40" s="17"/>
      <c r="I40" s="19">
        <f t="shared" si="2"/>
        <v>0</v>
      </c>
      <c r="J40" s="17"/>
      <c r="K40" s="18">
        <f t="shared" si="3"/>
        <v>0</v>
      </c>
      <c r="L40" s="17"/>
      <c r="M40" s="18">
        <f t="shared" si="4"/>
        <v>0</v>
      </c>
      <c r="N40" s="17"/>
      <c r="O40" s="18">
        <f t="shared" si="5"/>
        <v>0</v>
      </c>
      <c r="P40" s="17"/>
      <c r="Q40" s="18">
        <f t="shared" si="6"/>
        <v>0</v>
      </c>
      <c r="R40" s="20">
        <f t="shared" si="7"/>
        <v>0</v>
      </c>
      <c r="S40" s="21">
        <f t="shared" si="8"/>
        <v>0</v>
      </c>
    </row>
    <row r="41" spans="1:19" ht="14.25" hidden="1" customHeight="1" x14ac:dyDescent="0.25">
      <c r="A41" s="12"/>
      <c r="B41" s="13"/>
      <c r="C41" s="14"/>
      <c r="D41" s="15"/>
      <c r="E41" s="16">
        <f t="shared" si="0"/>
        <v>0</v>
      </c>
      <c r="F41" s="17"/>
      <c r="G41" s="18">
        <f t="shared" si="1"/>
        <v>0</v>
      </c>
      <c r="H41" s="17"/>
      <c r="I41" s="19">
        <f t="shared" si="2"/>
        <v>0</v>
      </c>
      <c r="J41" s="17"/>
      <c r="K41" s="18">
        <f t="shared" si="3"/>
        <v>0</v>
      </c>
      <c r="L41" s="17"/>
      <c r="M41" s="18">
        <f t="shared" si="4"/>
        <v>0</v>
      </c>
      <c r="N41" s="17"/>
      <c r="O41" s="18">
        <f t="shared" si="5"/>
        <v>0</v>
      </c>
      <c r="P41" s="17"/>
      <c r="Q41" s="18">
        <f t="shared" si="6"/>
        <v>0</v>
      </c>
      <c r="R41" s="20">
        <f t="shared" si="7"/>
        <v>0</v>
      </c>
      <c r="S41" s="21">
        <f t="shared" si="8"/>
        <v>0</v>
      </c>
    </row>
    <row r="42" spans="1:19" ht="14.25" hidden="1" customHeight="1" x14ac:dyDescent="0.25">
      <c r="A42" s="12"/>
      <c r="B42" s="13"/>
      <c r="C42" s="14"/>
      <c r="D42" s="15"/>
      <c r="E42" s="16">
        <f t="shared" si="0"/>
        <v>0</v>
      </c>
      <c r="F42" s="17"/>
      <c r="G42" s="18">
        <f t="shared" si="1"/>
        <v>0</v>
      </c>
      <c r="H42" s="17"/>
      <c r="I42" s="19">
        <f t="shared" si="2"/>
        <v>0</v>
      </c>
      <c r="J42" s="17"/>
      <c r="K42" s="18">
        <f t="shared" si="3"/>
        <v>0</v>
      </c>
      <c r="L42" s="17"/>
      <c r="M42" s="18">
        <f t="shared" si="4"/>
        <v>0</v>
      </c>
      <c r="N42" s="17"/>
      <c r="O42" s="18">
        <f t="shared" si="5"/>
        <v>0</v>
      </c>
      <c r="P42" s="17"/>
      <c r="Q42" s="18">
        <f t="shared" si="6"/>
        <v>0</v>
      </c>
      <c r="R42" s="20">
        <f t="shared" si="7"/>
        <v>0</v>
      </c>
      <c r="S42" s="21">
        <f t="shared" si="8"/>
        <v>0</v>
      </c>
    </row>
    <row r="43" spans="1:19" ht="14.25" hidden="1" customHeight="1" x14ac:dyDescent="0.25">
      <c r="A43" s="12"/>
      <c r="B43" s="13"/>
      <c r="C43" s="14"/>
      <c r="D43" s="15"/>
      <c r="E43" s="16">
        <f t="shared" si="0"/>
        <v>0</v>
      </c>
      <c r="F43" s="17"/>
      <c r="G43" s="18">
        <f t="shared" si="1"/>
        <v>0</v>
      </c>
      <c r="H43" s="17"/>
      <c r="I43" s="19">
        <f t="shared" si="2"/>
        <v>0</v>
      </c>
      <c r="J43" s="17"/>
      <c r="K43" s="18">
        <f t="shared" si="3"/>
        <v>0</v>
      </c>
      <c r="L43" s="17"/>
      <c r="M43" s="18">
        <f t="shared" si="4"/>
        <v>0</v>
      </c>
      <c r="N43" s="17"/>
      <c r="O43" s="18">
        <f t="shared" si="5"/>
        <v>0</v>
      </c>
      <c r="P43" s="17"/>
      <c r="Q43" s="18">
        <f t="shared" si="6"/>
        <v>0</v>
      </c>
      <c r="R43" s="20">
        <f t="shared" si="7"/>
        <v>0</v>
      </c>
      <c r="S43" s="21">
        <f t="shared" si="8"/>
        <v>0</v>
      </c>
    </row>
    <row r="44" spans="1:19" ht="14.25" hidden="1" customHeight="1" x14ac:dyDescent="0.25">
      <c r="A44" s="12"/>
      <c r="B44" s="13"/>
      <c r="C44" s="14"/>
      <c r="D44" s="15"/>
      <c r="E44" s="16">
        <f t="shared" si="0"/>
        <v>0</v>
      </c>
      <c r="F44" s="17"/>
      <c r="G44" s="18">
        <f t="shared" si="1"/>
        <v>0</v>
      </c>
      <c r="H44" s="17"/>
      <c r="I44" s="19">
        <f t="shared" si="2"/>
        <v>0</v>
      </c>
      <c r="J44" s="17"/>
      <c r="K44" s="18">
        <f t="shared" si="3"/>
        <v>0</v>
      </c>
      <c r="L44" s="17"/>
      <c r="M44" s="18">
        <f t="shared" si="4"/>
        <v>0</v>
      </c>
      <c r="N44" s="17"/>
      <c r="O44" s="18">
        <f t="shared" si="5"/>
        <v>0</v>
      </c>
      <c r="P44" s="17"/>
      <c r="Q44" s="18">
        <f t="shared" si="6"/>
        <v>0</v>
      </c>
      <c r="R44" s="20">
        <f t="shared" si="7"/>
        <v>0</v>
      </c>
      <c r="S44" s="21">
        <f t="shared" si="8"/>
        <v>0</v>
      </c>
    </row>
    <row r="45" spans="1:19" ht="14.25" hidden="1" customHeight="1" x14ac:dyDescent="0.25">
      <c r="A45" s="12"/>
      <c r="B45" s="13"/>
      <c r="C45" s="14"/>
      <c r="D45" s="15"/>
      <c r="E45" s="16">
        <f t="shared" si="0"/>
        <v>0</v>
      </c>
      <c r="F45" s="17"/>
      <c r="G45" s="18">
        <f t="shared" si="1"/>
        <v>0</v>
      </c>
      <c r="H45" s="17"/>
      <c r="I45" s="19">
        <f t="shared" si="2"/>
        <v>0</v>
      </c>
      <c r="J45" s="17"/>
      <c r="K45" s="18">
        <f t="shared" si="3"/>
        <v>0</v>
      </c>
      <c r="L45" s="17"/>
      <c r="M45" s="18">
        <f t="shared" si="4"/>
        <v>0</v>
      </c>
      <c r="N45" s="17"/>
      <c r="O45" s="18">
        <f t="shared" si="5"/>
        <v>0</v>
      </c>
      <c r="P45" s="17"/>
      <c r="Q45" s="18">
        <f t="shared" si="6"/>
        <v>0</v>
      </c>
      <c r="R45" s="20">
        <f t="shared" si="7"/>
        <v>0</v>
      </c>
      <c r="S45" s="21">
        <f t="shared" si="8"/>
        <v>0</v>
      </c>
    </row>
    <row r="46" spans="1:19" ht="14.25" hidden="1" customHeight="1" x14ac:dyDescent="0.25">
      <c r="A46" s="12"/>
      <c r="B46" s="13"/>
      <c r="C46" s="14"/>
      <c r="D46" s="15"/>
      <c r="E46" s="16">
        <f t="shared" si="0"/>
        <v>0</v>
      </c>
      <c r="F46" s="17"/>
      <c r="G46" s="18">
        <f t="shared" si="1"/>
        <v>0</v>
      </c>
      <c r="H46" s="17"/>
      <c r="I46" s="19">
        <f t="shared" si="2"/>
        <v>0</v>
      </c>
      <c r="J46" s="17"/>
      <c r="K46" s="18">
        <f t="shared" si="3"/>
        <v>0</v>
      </c>
      <c r="L46" s="17"/>
      <c r="M46" s="18">
        <f t="shared" si="4"/>
        <v>0</v>
      </c>
      <c r="N46" s="17"/>
      <c r="O46" s="18">
        <f t="shared" si="5"/>
        <v>0</v>
      </c>
      <c r="P46" s="17"/>
      <c r="Q46" s="18">
        <f t="shared" si="6"/>
        <v>0</v>
      </c>
      <c r="R46" s="20">
        <f t="shared" si="7"/>
        <v>0</v>
      </c>
      <c r="S46" s="21">
        <f t="shared" si="8"/>
        <v>0</v>
      </c>
    </row>
    <row r="47" spans="1:19" ht="14.25" hidden="1" customHeight="1" x14ac:dyDescent="0.25">
      <c r="A47" s="12"/>
      <c r="B47" s="13"/>
      <c r="C47" s="14"/>
      <c r="D47" s="15"/>
      <c r="E47" s="16">
        <f t="shared" si="0"/>
        <v>0</v>
      </c>
      <c r="F47" s="17"/>
      <c r="G47" s="18">
        <f t="shared" si="1"/>
        <v>0</v>
      </c>
      <c r="H47" s="17"/>
      <c r="I47" s="19">
        <f t="shared" si="2"/>
        <v>0</v>
      </c>
      <c r="J47" s="17"/>
      <c r="K47" s="18">
        <f t="shared" si="3"/>
        <v>0</v>
      </c>
      <c r="L47" s="17"/>
      <c r="M47" s="18">
        <f t="shared" si="4"/>
        <v>0</v>
      </c>
      <c r="N47" s="17"/>
      <c r="O47" s="18">
        <f t="shared" si="5"/>
        <v>0</v>
      </c>
      <c r="P47" s="17"/>
      <c r="Q47" s="18">
        <f t="shared" si="6"/>
        <v>0</v>
      </c>
      <c r="R47" s="20">
        <f t="shared" si="7"/>
        <v>0</v>
      </c>
      <c r="S47" s="21">
        <f t="shared" si="8"/>
        <v>0</v>
      </c>
    </row>
    <row r="48" spans="1:19" ht="14.25" hidden="1" customHeight="1" thickBot="1" x14ac:dyDescent="0.3">
      <c r="A48" s="24"/>
      <c r="B48" s="25"/>
      <c r="C48" s="26"/>
      <c r="D48" s="27"/>
      <c r="E48" s="28"/>
      <c r="F48" s="29"/>
      <c r="G48" s="30"/>
      <c r="H48" s="27"/>
      <c r="I48" s="31"/>
      <c r="J48" s="29"/>
      <c r="K48" s="30">
        <f t="shared" si="3"/>
        <v>0</v>
      </c>
      <c r="L48" s="29"/>
      <c r="M48" s="30">
        <f t="shared" si="4"/>
        <v>0</v>
      </c>
      <c r="N48" s="29"/>
      <c r="O48" s="30">
        <f t="shared" si="5"/>
        <v>0</v>
      </c>
      <c r="P48" s="29"/>
      <c r="Q48" s="30">
        <f t="shared" si="6"/>
        <v>0</v>
      </c>
      <c r="R48" s="20">
        <f t="shared" si="7"/>
        <v>0</v>
      </c>
      <c r="S48" s="32">
        <f t="shared" si="8"/>
        <v>0</v>
      </c>
    </row>
    <row r="49" spans="1:19" ht="14.25" customHeight="1" thickBot="1" x14ac:dyDescent="0.3">
      <c r="A49" s="200" t="s">
        <v>7</v>
      </c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4"/>
    </row>
    <row r="50" spans="1:19" ht="14.25" customHeight="1" thickBot="1" x14ac:dyDescent="0.3">
      <c r="A50" s="33" t="s">
        <v>8</v>
      </c>
      <c r="B50" s="201"/>
      <c r="C50" s="202"/>
      <c r="D50" s="34"/>
      <c r="E50" s="35">
        <f>+SUM(E12:E48)</f>
        <v>179496</v>
      </c>
      <c r="F50" s="36"/>
      <c r="G50" s="37">
        <f>+SUM(G12:G48)</f>
        <v>147768.59504132232</v>
      </c>
      <c r="H50" s="36"/>
      <c r="I50" s="37">
        <f>+SUM(I12:I49)</f>
        <v>0</v>
      </c>
      <c r="J50" s="36"/>
      <c r="K50" s="37">
        <f>+SUM(K12:K48)</f>
        <v>161512.5</v>
      </c>
      <c r="L50" s="36"/>
      <c r="M50" s="37">
        <f>+SUM(M12:M48)</f>
        <v>0</v>
      </c>
      <c r="N50" s="36"/>
      <c r="O50" s="37">
        <f>+SUM(O12:O49)</f>
        <v>0</v>
      </c>
      <c r="P50" s="36"/>
      <c r="Q50" s="37">
        <f>+SUM(Q12:Q49)</f>
        <v>0</v>
      </c>
      <c r="R50" s="38"/>
      <c r="S50" s="37">
        <f>+SUM(S12:S49)</f>
        <v>147768.59504132232</v>
      </c>
    </row>
    <row r="51" spans="1:19" ht="14.25" customHeight="1" thickBot="1" x14ac:dyDescent="0.3">
      <c r="A51" s="39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</row>
    <row r="52" spans="1:19" ht="14.25" customHeight="1" x14ac:dyDescent="0.25">
      <c r="A52" s="42" t="s">
        <v>9</v>
      </c>
      <c r="B52" s="203"/>
      <c r="C52" s="197"/>
      <c r="D52" s="43">
        <v>0</v>
      </c>
      <c r="E52" s="44">
        <f>+E50*D52</f>
        <v>0</v>
      </c>
      <c r="F52" s="43">
        <v>0</v>
      </c>
      <c r="G52" s="45">
        <f>+G50*F52</f>
        <v>0</v>
      </c>
      <c r="H52" s="43">
        <v>0</v>
      </c>
      <c r="I52" s="45">
        <f>+I50*H52</f>
        <v>0</v>
      </c>
      <c r="J52" s="43">
        <v>0</v>
      </c>
      <c r="K52" s="45">
        <f>+K50*J52</f>
        <v>0</v>
      </c>
      <c r="L52" s="43">
        <v>0</v>
      </c>
      <c r="M52" s="45">
        <f>+M50*L52</f>
        <v>0</v>
      </c>
      <c r="N52" s="43">
        <v>0</v>
      </c>
      <c r="O52" s="45">
        <f>+O50*N52</f>
        <v>0</v>
      </c>
      <c r="P52" s="43">
        <v>0</v>
      </c>
      <c r="Q52" s="45">
        <f>+Q50*P52</f>
        <v>0</v>
      </c>
      <c r="R52" s="46"/>
      <c r="S52" s="45">
        <f>+S50*R52</f>
        <v>0</v>
      </c>
    </row>
    <row r="53" spans="1:19" ht="14.25" customHeight="1" x14ac:dyDescent="0.25">
      <c r="A53" s="47" t="s">
        <v>10</v>
      </c>
      <c r="B53" s="186">
        <v>1</v>
      </c>
      <c r="C53" s="187"/>
      <c r="D53" s="48"/>
      <c r="E53" s="49"/>
      <c r="F53" s="48"/>
      <c r="G53" s="50"/>
      <c r="H53" s="48"/>
      <c r="I53" s="50"/>
      <c r="J53" s="48"/>
      <c r="K53" s="50"/>
      <c r="L53" s="48"/>
      <c r="M53" s="50"/>
      <c r="N53" s="48"/>
      <c r="O53" s="50"/>
      <c r="P53" s="48"/>
      <c r="Q53" s="50"/>
      <c r="R53" s="51"/>
      <c r="S53" s="50"/>
    </row>
    <row r="54" spans="1:19" ht="14.25" customHeight="1" x14ac:dyDescent="0.25">
      <c r="A54" s="47" t="s">
        <v>11</v>
      </c>
      <c r="B54" s="186"/>
      <c r="C54" s="187"/>
      <c r="D54" s="48"/>
      <c r="E54" s="49">
        <f>+E50-E52</f>
        <v>179496</v>
      </c>
      <c r="F54" s="48"/>
      <c r="G54" s="50">
        <f>+G50-G52</f>
        <v>147768.59504132232</v>
      </c>
      <c r="H54" s="48"/>
      <c r="I54" s="50">
        <f>+I50-I52</f>
        <v>0</v>
      </c>
      <c r="J54" s="48"/>
      <c r="K54" s="50">
        <f>+K50-K52</f>
        <v>161512.5</v>
      </c>
      <c r="L54" s="48"/>
      <c r="M54" s="50">
        <f>+M50-M52</f>
        <v>0</v>
      </c>
      <c r="N54" s="48"/>
      <c r="O54" s="50">
        <f>+O50-O52</f>
        <v>0</v>
      </c>
      <c r="P54" s="48"/>
      <c r="Q54" s="50">
        <f>+Q50-Q52</f>
        <v>0</v>
      </c>
      <c r="R54" s="51"/>
      <c r="S54" s="50">
        <f>+S50-S52</f>
        <v>147768.59504132232</v>
      </c>
    </row>
    <row r="55" spans="1:19" ht="14.25" customHeight="1" x14ac:dyDescent="0.25">
      <c r="A55" s="47" t="s">
        <v>12</v>
      </c>
      <c r="B55" s="207">
        <v>0.21</v>
      </c>
      <c r="C55" s="187"/>
      <c r="D55" s="48"/>
      <c r="E55" s="49">
        <f>(+E54)*B55</f>
        <v>37694.159999999996</v>
      </c>
      <c r="F55" s="48"/>
      <c r="G55" s="50">
        <f>(+G54)*B55</f>
        <v>31031.404958677685</v>
      </c>
      <c r="H55" s="48"/>
      <c r="I55" s="50">
        <f>(+I54)*B55</f>
        <v>0</v>
      </c>
      <c r="J55" s="48"/>
      <c r="K55" s="50">
        <f>(+K54)*B55</f>
        <v>33917.625</v>
      </c>
      <c r="L55" s="48"/>
      <c r="M55" s="50">
        <f>(+M54)*B55</f>
        <v>0</v>
      </c>
      <c r="N55" s="48"/>
      <c r="O55" s="50">
        <f>(+O54)*B55</f>
        <v>0</v>
      </c>
      <c r="P55" s="48"/>
      <c r="Q55" s="50">
        <f>(+Q54)*B55</f>
        <v>0</v>
      </c>
      <c r="R55" s="51"/>
      <c r="S55" s="50">
        <f>S54*B55</f>
        <v>31031.404958677685</v>
      </c>
    </row>
    <row r="56" spans="1:19" ht="14.25" customHeight="1" x14ac:dyDescent="0.25">
      <c r="A56" s="52" t="s">
        <v>13</v>
      </c>
      <c r="B56" s="53"/>
      <c r="C56" s="54"/>
      <c r="D56" s="55"/>
      <c r="E56" s="56"/>
      <c r="F56" s="55"/>
      <c r="G56" s="57"/>
      <c r="H56" s="55"/>
      <c r="I56" s="57"/>
      <c r="J56" s="55"/>
      <c r="K56" s="57"/>
      <c r="L56" s="55"/>
      <c r="M56" s="57"/>
      <c r="N56" s="55"/>
      <c r="O56" s="57"/>
      <c r="P56" s="55"/>
      <c r="Q56" s="57"/>
      <c r="R56" s="58"/>
      <c r="S56" s="57"/>
    </row>
    <row r="57" spans="1:19" ht="14.25" customHeight="1" thickBot="1" x14ac:dyDescent="0.3">
      <c r="A57" s="59" t="s">
        <v>14</v>
      </c>
      <c r="B57" s="60"/>
      <c r="C57" s="61"/>
      <c r="D57" s="62"/>
      <c r="E57" s="63"/>
      <c r="F57" s="62"/>
      <c r="G57" s="64"/>
      <c r="H57" s="62"/>
      <c r="I57" s="64"/>
      <c r="J57" s="62"/>
      <c r="K57" s="64"/>
      <c r="L57" s="62"/>
      <c r="M57" s="64"/>
      <c r="N57" s="62"/>
      <c r="O57" s="64"/>
      <c r="P57" s="62"/>
      <c r="Q57" s="64"/>
      <c r="R57" s="65"/>
      <c r="S57" s="64"/>
    </row>
    <row r="58" spans="1:19" ht="14.25" customHeight="1" thickBot="1" x14ac:dyDescent="0.3">
      <c r="A58" s="39"/>
      <c r="B58" s="40"/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</row>
    <row r="59" spans="1:19" ht="14.25" customHeight="1" thickBot="1" x14ac:dyDescent="0.3">
      <c r="A59" s="66" t="s">
        <v>15</v>
      </c>
      <c r="B59" s="67"/>
      <c r="C59" s="68"/>
      <c r="D59" s="69"/>
      <c r="E59" s="70">
        <f>+E54+E55+E57+E56</f>
        <v>217190.16</v>
      </c>
      <c r="F59" s="71"/>
      <c r="G59" s="70">
        <f>+G54+G55+G57+G56</f>
        <v>178800</v>
      </c>
      <c r="H59" s="71"/>
      <c r="I59" s="70">
        <f>+I54+I55+I57+I56</f>
        <v>0</v>
      </c>
      <c r="J59" s="71"/>
      <c r="K59" s="70">
        <f>+K54+K55+K57+K56</f>
        <v>195430.125</v>
      </c>
      <c r="L59" s="71"/>
      <c r="M59" s="70">
        <f>+M54+M55+M57+M56</f>
        <v>0</v>
      </c>
      <c r="N59" s="69"/>
      <c r="O59" s="72">
        <f>+O54+O55+O57+O56</f>
        <v>0</v>
      </c>
      <c r="P59" s="69"/>
      <c r="Q59" s="72">
        <f>+Q54+Q55+Q57+Q56</f>
        <v>0</v>
      </c>
      <c r="R59" s="69"/>
      <c r="S59" s="70">
        <f>SUM(S54:S57)</f>
        <v>178800</v>
      </c>
    </row>
    <row r="60" spans="1:19" ht="78.75" customHeight="1" thickBot="1" x14ac:dyDescent="0.3">
      <c r="A60" s="73" t="s">
        <v>16</v>
      </c>
      <c r="B60" s="208"/>
      <c r="C60" s="205"/>
      <c r="D60" s="204"/>
      <c r="E60" s="205"/>
      <c r="F60" s="209" t="s">
        <v>55</v>
      </c>
      <c r="G60" s="205"/>
      <c r="H60" s="210" t="s">
        <v>56</v>
      </c>
      <c r="I60" s="211"/>
      <c r="J60" s="209"/>
      <c r="K60" s="205"/>
      <c r="L60" s="209"/>
      <c r="M60" s="205"/>
      <c r="N60" s="204"/>
      <c r="O60" s="205"/>
      <c r="P60" s="204"/>
      <c r="Q60" s="205"/>
      <c r="R60" s="206"/>
      <c r="S60" s="205"/>
    </row>
    <row r="61" spans="1:19" ht="14.25" customHeight="1" x14ac:dyDescent="0.25">
      <c r="J61" s="74"/>
      <c r="L61" s="181"/>
    </row>
    <row r="62" spans="1:19" ht="14.25" customHeight="1" x14ac:dyDescent="0.25">
      <c r="J62" s="75"/>
      <c r="K62" s="76"/>
      <c r="L62" s="182"/>
      <c r="M62" s="76"/>
    </row>
    <row r="63" spans="1:19" ht="14.25" customHeight="1" x14ac:dyDescent="0.25">
      <c r="B63" s="77"/>
      <c r="G63" s="78"/>
      <c r="I63" s="78"/>
      <c r="J63" s="75"/>
      <c r="K63" s="78"/>
      <c r="L63" s="182"/>
      <c r="M63" s="78"/>
      <c r="O63" s="78"/>
      <c r="Q63" s="78"/>
    </row>
    <row r="64" spans="1:19" ht="14.25" customHeight="1" x14ac:dyDescent="0.25">
      <c r="J64" s="75"/>
      <c r="L64" s="182"/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8">
    <mergeCell ref="N60:O60"/>
    <mergeCell ref="P60:Q60"/>
    <mergeCell ref="R60:S60"/>
    <mergeCell ref="L61:L64"/>
    <mergeCell ref="B54:C54"/>
    <mergeCell ref="B55:C55"/>
    <mergeCell ref="B60:C60"/>
    <mergeCell ref="D60:E60"/>
    <mergeCell ref="F60:G60"/>
    <mergeCell ref="H60:I60"/>
    <mergeCell ref="J60:K60"/>
    <mergeCell ref="L60:M60"/>
    <mergeCell ref="B53:C53"/>
    <mergeCell ref="A8:S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  <mergeCell ref="P10:Q10"/>
    <mergeCell ref="R10:S10"/>
    <mergeCell ref="A49:R49"/>
    <mergeCell ref="B50:C50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AB97-E9B3-4BE4-8D74-AB5C261B0B5E}">
  <sheetPr>
    <pageSetUpPr fitToPage="1"/>
  </sheetPr>
  <dimension ref="A1:S1000"/>
  <sheetViews>
    <sheetView tabSelected="1" zoomScale="84" zoomScaleNormal="70" workbookViewId="0">
      <pane xSplit="3" topLeftCell="D1" activePane="topRight" state="frozen"/>
      <selection pane="topRight" activeCell="G5" sqref="G5"/>
    </sheetView>
  </sheetViews>
  <sheetFormatPr baseColWidth="10" defaultColWidth="14.42578125" defaultRowHeight="15" x14ac:dyDescent="0.25"/>
  <cols>
    <col min="1" max="1" width="30.28515625" style="157" customWidth="1"/>
    <col min="2" max="2" width="6.85546875" style="157" customWidth="1"/>
    <col min="3" max="3" width="9" style="157" customWidth="1"/>
    <col min="4" max="4" width="17.42578125" style="157" bestFit="1" customWidth="1"/>
    <col min="5" max="5" width="17.7109375" style="157" bestFit="1" customWidth="1"/>
    <col min="6" max="6" width="17.42578125" style="157" bestFit="1" customWidth="1"/>
    <col min="7" max="7" width="17.7109375" style="157" bestFit="1" customWidth="1"/>
    <col min="8" max="8" width="9.85546875" style="157" bestFit="1" customWidth="1"/>
    <col min="9" max="9" width="16.28515625" style="157" bestFit="1" customWidth="1"/>
    <col min="10" max="10" width="17.42578125" style="157" bestFit="1" customWidth="1"/>
    <col min="11" max="11" width="16.42578125" style="157" bestFit="1" customWidth="1"/>
    <col min="12" max="12" width="17.42578125" style="157" bestFit="1" customWidth="1"/>
    <col min="13" max="13" width="16.42578125" style="157" bestFit="1" customWidth="1"/>
    <col min="14" max="14" width="14.7109375" style="157" hidden="1" customWidth="1"/>
    <col min="15" max="15" width="16" style="157" hidden="1" customWidth="1"/>
    <col min="16" max="16" width="14.7109375" style="157" hidden="1" customWidth="1"/>
    <col min="17" max="17" width="15.28515625" style="157" hidden="1" customWidth="1"/>
    <col min="18" max="19" width="17.7109375" style="157" bestFit="1" customWidth="1"/>
    <col min="20" max="26" width="10.7109375" style="157" customWidth="1"/>
    <col min="27" max="16384" width="14.42578125" style="157"/>
  </cols>
  <sheetData>
    <row r="1" spans="1:19" ht="14.25" customHeight="1" x14ac:dyDescent="0.25">
      <c r="A1" s="85"/>
      <c r="B1" s="85"/>
      <c r="C1" s="86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</row>
    <row r="2" spans="1:19" ht="14.25" customHeight="1" x14ac:dyDescent="0.25">
      <c r="A2" s="89" t="s">
        <v>109</v>
      </c>
      <c r="B2" s="85"/>
      <c r="C2" s="86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8"/>
    </row>
    <row r="3" spans="1:19" ht="14.25" customHeight="1" x14ac:dyDescent="0.3">
      <c r="A3" s="91" t="s">
        <v>97</v>
      </c>
      <c r="B3" s="85"/>
      <c r="C3" s="86"/>
      <c r="D3" s="87"/>
      <c r="E3" s="87"/>
      <c r="F3" s="87"/>
      <c r="G3" s="87"/>
      <c r="H3" s="158"/>
      <c r="I3" s="158"/>
      <c r="J3" s="158"/>
      <c r="K3" s="87"/>
      <c r="L3" s="158"/>
      <c r="M3" s="87"/>
      <c r="N3" s="87"/>
      <c r="O3" s="87"/>
      <c r="P3" s="87"/>
      <c r="Q3" s="87"/>
      <c r="R3" s="87"/>
      <c r="S3" s="88"/>
    </row>
    <row r="4" spans="1:19" ht="17.25" x14ac:dyDescent="0.3">
      <c r="A4" s="91" t="s">
        <v>23</v>
      </c>
      <c r="B4" s="92"/>
      <c r="C4" s="93"/>
      <c r="D4" s="92"/>
      <c r="E4" s="92"/>
      <c r="F4" s="92"/>
      <c r="G4" s="92"/>
      <c r="H4" s="158"/>
      <c r="I4" s="158"/>
      <c r="J4" s="158"/>
      <c r="K4" s="92"/>
      <c r="L4" s="158"/>
      <c r="M4" s="92"/>
      <c r="N4" s="92"/>
      <c r="O4" s="92"/>
      <c r="P4" s="92"/>
      <c r="Q4" s="92"/>
      <c r="R4" s="92"/>
      <c r="S4" s="88"/>
    </row>
    <row r="5" spans="1:19" ht="14.25" customHeight="1" x14ac:dyDescent="0.3">
      <c r="A5" s="89" t="s">
        <v>21</v>
      </c>
      <c r="B5" s="85"/>
      <c r="C5" s="86"/>
      <c r="D5" s="87"/>
      <c r="E5" s="87"/>
      <c r="F5" s="87"/>
      <c r="G5" s="87"/>
      <c r="H5" s="158"/>
      <c r="I5" s="158"/>
      <c r="J5" s="158"/>
      <c r="K5" s="87"/>
      <c r="L5" s="158"/>
      <c r="M5" s="87"/>
      <c r="N5" s="87"/>
      <c r="O5" s="87"/>
      <c r="P5" s="87"/>
      <c r="Q5" s="87"/>
      <c r="R5" s="87"/>
      <c r="S5" s="88"/>
    </row>
    <row r="6" spans="1:19" ht="17.25" x14ac:dyDescent="0.3">
      <c r="A6" s="91" t="s">
        <v>89</v>
      </c>
      <c r="B6" s="85"/>
      <c r="C6" s="86"/>
      <c r="D6" s="87"/>
      <c r="E6" s="87"/>
      <c r="F6" s="87"/>
      <c r="G6" s="87"/>
      <c r="H6" s="158"/>
      <c r="I6" s="158"/>
      <c r="J6" s="158"/>
      <c r="K6" s="87"/>
      <c r="L6" s="158"/>
      <c r="M6" s="87"/>
      <c r="N6" s="87"/>
      <c r="O6" s="87"/>
      <c r="P6" s="87"/>
      <c r="Q6" s="87"/>
      <c r="R6" s="87"/>
      <c r="S6" s="88"/>
    </row>
    <row r="7" spans="1:19" ht="14.25" customHeight="1" x14ac:dyDescent="0.25">
      <c r="A7" s="85"/>
      <c r="B7" s="85"/>
      <c r="C7" s="86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8"/>
    </row>
    <row r="8" spans="1:19" ht="14.25" customHeight="1" x14ac:dyDescent="0.3">
      <c r="A8" s="161" t="s">
        <v>0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3"/>
    </row>
    <row r="9" spans="1:19" ht="14.25" customHeight="1" thickBot="1" x14ac:dyDescent="0.3">
      <c r="A9" s="85"/>
      <c r="B9" s="85"/>
      <c r="C9" s="86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8"/>
    </row>
    <row r="10" spans="1:19" ht="17.25" x14ac:dyDescent="0.3">
      <c r="A10" s="164" t="s">
        <v>1</v>
      </c>
      <c r="B10" s="166" t="s">
        <v>2</v>
      </c>
      <c r="C10" s="168" t="s">
        <v>3</v>
      </c>
      <c r="D10" s="169" t="s">
        <v>106</v>
      </c>
      <c r="E10" s="170"/>
      <c r="F10" s="171" t="s">
        <v>98</v>
      </c>
      <c r="G10" s="170"/>
      <c r="H10" s="169" t="s">
        <v>99</v>
      </c>
      <c r="I10" s="172"/>
      <c r="J10" s="171" t="s">
        <v>101</v>
      </c>
      <c r="K10" s="170"/>
      <c r="L10" s="171" t="s">
        <v>96</v>
      </c>
      <c r="M10" s="170"/>
      <c r="N10" s="171"/>
      <c r="O10" s="170"/>
      <c r="P10" s="171"/>
      <c r="Q10" s="170"/>
      <c r="R10" s="171" t="s">
        <v>4</v>
      </c>
      <c r="S10" s="170"/>
    </row>
    <row r="11" spans="1:19" ht="18" thickBot="1" x14ac:dyDescent="0.3">
      <c r="A11" s="165"/>
      <c r="B11" s="167"/>
      <c r="C11" s="167"/>
      <c r="D11" s="94" t="s">
        <v>5</v>
      </c>
      <c r="E11" s="95" t="s">
        <v>6</v>
      </c>
      <c r="F11" s="96" t="s">
        <v>5</v>
      </c>
      <c r="G11" s="95" t="s">
        <v>6</v>
      </c>
      <c r="H11" s="94" t="s">
        <v>5</v>
      </c>
      <c r="I11" s="97" t="s">
        <v>6</v>
      </c>
      <c r="J11" s="96" t="s">
        <v>5</v>
      </c>
      <c r="K11" s="95" t="s">
        <v>6</v>
      </c>
      <c r="L11" s="96" t="s">
        <v>5</v>
      </c>
      <c r="M11" s="95" t="s">
        <v>6</v>
      </c>
      <c r="N11" s="96" t="s">
        <v>5</v>
      </c>
      <c r="O11" s="95" t="s">
        <v>6</v>
      </c>
      <c r="P11" s="96" t="s">
        <v>5</v>
      </c>
      <c r="Q11" s="95" t="s">
        <v>6</v>
      </c>
      <c r="R11" s="96" t="s">
        <v>5</v>
      </c>
      <c r="S11" s="95" t="s">
        <v>6</v>
      </c>
    </row>
    <row r="12" spans="1:19" ht="17.25" x14ac:dyDescent="0.25">
      <c r="A12" s="98" t="s">
        <v>102</v>
      </c>
      <c r="B12" s="99" t="s">
        <v>100</v>
      </c>
      <c r="C12" s="100">
        <v>1</v>
      </c>
      <c r="D12" s="101">
        <v>1929000</v>
      </c>
      <c r="E12" s="102">
        <f t="shared" ref="E12:E47" si="0">C12*D12</f>
        <v>1929000</v>
      </c>
      <c r="F12" s="101">
        <f>1400000</f>
        <v>1400000</v>
      </c>
      <c r="G12" s="104">
        <f t="shared" ref="G12:G47" si="1">C12*F12</f>
        <v>1400000</v>
      </c>
      <c r="H12" s="101"/>
      <c r="I12" s="105">
        <f t="shared" ref="I12:I47" si="2">C12*H12</f>
        <v>0</v>
      </c>
      <c r="J12" s="103">
        <v>2373491.4700000002</v>
      </c>
      <c r="K12" s="104">
        <f t="shared" ref="K12:K48" si="3">C12*J12</f>
        <v>2373491.4700000002</v>
      </c>
      <c r="L12" s="103">
        <v>2056384</v>
      </c>
      <c r="M12" s="104">
        <f t="shared" ref="M12:M48" si="4">C12*L12</f>
        <v>2056384</v>
      </c>
      <c r="N12" s="103"/>
      <c r="O12" s="104">
        <f t="shared" ref="O12:O48" si="5">C12*N12</f>
        <v>0</v>
      </c>
      <c r="P12" s="103"/>
      <c r="Q12" s="104">
        <f t="shared" ref="Q12:Q48" si="6">C12*P12</f>
        <v>0</v>
      </c>
      <c r="R12" s="106">
        <f t="shared" ref="R12:R48" si="7">MIN(D12,F12,H12,J12,N12,L12,P12)</f>
        <v>1400000</v>
      </c>
      <c r="S12" s="107">
        <f t="shared" ref="S12:S48" si="8">R12*C12</f>
        <v>1400000</v>
      </c>
    </row>
    <row r="13" spans="1:19" ht="17.25" x14ac:dyDescent="0.25">
      <c r="A13" s="98"/>
      <c r="B13" s="99"/>
      <c r="C13" s="100"/>
      <c r="D13" s="101"/>
      <c r="E13" s="102">
        <f t="shared" si="0"/>
        <v>0</v>
      </c>
      <c r="F13" s="103"/>
      <c r="G13" s="104">
        <f t="shared" si="1"/>
        <v>0</v>
      </c>
      <c r="H13" s="103"/>
      <c r="I13" s="105">
        <f t="shared" si="2"/>
        <v>0</v>
      </c>
      <c r="J13" s="103"/>
      <c r="K13" s="104">
        <f t="shared" si="3"/>
        <v>0</v>
      </c>
      <c r="L13" s="103"/>
      <c r="M13" s="104">
        <f t="shared" si="4"/>
        <v>0</v>
      </c>
      <c r="N13" s="103"/>
      <c r="O13" s="104">
        <f t="shared" si="5"/>
        <v>0</v>
      </c>
      <c r="P13" s="103"/>
      <c r="Q13" s="104">
        <f t="shared" si="6"/>
        <v>0</v>
      </c>
      <c r="R13" s="106">
        <f t="shared" si="7"/>
        <v>0</v>
      </c>
      <c r="S13" s="107">
        <f t="shared" si="8"/>
        <v>0</v>
      </c>
    </row>
    <row r="14" spans="1:19" ht="17.25" x14ac:dyDescent="0.25">
      <c r="A14" s="98"/>
      <c r="B14" s="99"/>
      <c r="C14" s="100"/>
      <c r="D14" s="101"/>
      <c r="E14" s="102">
        <f t="shared" si="0"/>
        <v>0</v>
      </c>
      <c r="F14" s="103"/>
      <c r="G14" s="104">
        <f t="shared" si="1"/>
        <v>0</v>
      </c>
      <c r="H14" s="103"/>
      <c r="I14" s="105">
        <f t="shared" si="2"/>
        <v>0</v>
      </c>
      <c r="J14" s="103"/>
      <c r="K14" s="104">
        <f t="shared" si="3"/>
        <v>0</v>
      </c>
      <c r="L14" s="103"/>
      <c r="M14" s="104">
        <f t="shared" si="4"/>
        <v>0</v>
      </c>
      <c r="N14" s="103"/>
      <c r="O14" s="104">
        <f t="shared" si="5"/>
        <v>0</v>
      </c>
      <c r="P14" s="103"/>
      <c r="Q14" s="104">
        <f t="shared" si="6"/>
        <v>0</v>
      </c>
      <c r="R14" s="106">
        <f t="shared" si="7"/>
        <v>0</v>
      </c>
      <c r="S14" s="107">
        <f t="shared" si="8"/>
        <v>0</v>
      </c>
    </row>
    <row r="15" spans="1:19" ht="17.25" hidden="1" x14ac:dyDescent="0.25">
      <c r="A15" s="98"/>
      <c r="B15" s="99"/>
      <c r="C15" s="100"/>
      <c r="D15" s="101"/>
      <c r="E15" s="102">
        <f t="shared" si="0"/>
        <v>0</v>
      </c>
      <c r="F15" s="103"/>
      <c r="G15" s="104">
        <f t="shared" si="1"/>
        <v>0</v>
      </c>
      <c r="H15" s="103"/>
      <c r="I15" s="105">
        <f t="shared" si="2"/>
        <v>0</v>
      </c>
      <c r="J15" s="103"/>
      <c r="K15" s="104">
        <f t="shared" si="3"/>
        <v>0</v>
      </c>
      <c r="L15" s="103"/>
      <c r="M15" s="104">
        <f t="shared" si="4"/>
        <v>0</v>
      </c>
      <c r="N15" s="103"/>
      <c r="O15" s="104">
        <f t="shared" si="5"/>
        <v>0</v>
      </c>
      <c r="P15" s="103"/>
      <c r="Q15" s="104">
        <f t="shared" si="6"/>
        <v>0</v>
      </c>
      <c r="R15" s="106">
        <f t="shared" si="7"/>
        <v>0</v>
      </c>
      <c r="S15" s="107">
        <f t="shared" si="8"/>
        <v>0</v>
      </c>
    </row>
    <row r="16" spans="1:19" ht="17.25" hidden="1" x14ac:dyDescent="0.25">
      <c r="A16" s="98"/>
      <c r="B16" s="99"/>
      <c r="C16" s="100"/>
      <c r="D16" s="101"/>
      <c r="E16" s="102">
        <f t="shared" si="0"/>
        <v>0</v>
      </c>
      <c r="F16" s="103"/>
      <c r="G16" s="104">
        <f t="shared" si="1"/>
        <v>0</v>
      </c>
      <c r="H16" s="103"/>
      <c r="I16" s="105">
        <f t="shared" si="2"/>
        <v>0</v>
      </c>
      <c r="J16" s="103"/>
      <c r="K16" s="104">
        <f t="shared" si="3"/>
        <v>0</v>
      </c>
      <c r="L16" s="103"/>
      <c r="M16" s="104">
        <f t="shared" si="4"/>
        <v>0</v>
      </c>
      <c r="N16" s="103"/>
      <c r="O16" s="104">
        <f t="shared" si="5"/>
        <v>0</v>
      </c>
      <c r="P16" s="103"/>
      <c r="Q16" s="104">
        <f t="shared" si="6"/>
        <v>0</v>
      </c>
      <c r="R16" s="106">
        <f t="shared" si="7"/>
        <v>0</v>
      </c>
      <c r="S16" s="107">
        <f t="shared" si="8"/>
        <v>0</v>
      </c>
    </row>
    <row r="17" spans="1:19" ht="17.25" hidden="1" x14ac:dyDescent="0.25">
      <c r="A17" s="98"/>
      <c r="B17" s="99"/>
      <c r="C17" s="100"/>
      <c r="D17" s="101"/>
      <c r="E17" s="102">
        <f t="shared" si="0"/>
        <v>0</v>
      </c>
      <c r="F17" s="103"/>
      <c r="G17" s="104">
        <f t="shared" si="1"/>
        <v>0</v>
      </c>
      <c r="H17" s="103"/>
      <c r="I17" s="105">
        <f t="shared" si="2"/>
        <v>0</v>
      </c>
      <c r="J17" s="103"/>
      <c r="K17" s="104">
        <f t="shared" si="3"/>
        <v>0</v>
      </c>
      <c r="L17" s="103"/>
      <c r="M17" s="104">
        <f t="shared" si="4"/>
        <v>0</v>
      </c>
      <c r="N17" s="103"/>
      <c r="O17" s="104">
        <f t="shared" si="5"/>
        <v>0</v>
      </c>
      <c r="P17" s="103"/>
      <c r="Q17" s="104">
        <f t="shared" si="6"/>
        <v>0</v>
      </c>
      <c r="R17" s="106">
        <f t="shared" si="7"/>
        <v>0</v>
      </c>
      <c r="S17" s="107">
        <f t="shared" si="8"/>
        <v>0</v>
      </c>
    </row>
    <row r="18" spans="1:19" ht="17.25" hidden="1" x14ac:dyDescent="0.25">
      <c r="A18" s="98"/>
      <c r="B18" s="99"/>
      <c r="C18" s="100"/>
      <c r="D18" s="101"/>
      <c r="E18" s="102">
        <f t="shared" si="0"/>
        <v>0</v>
      </c>
      <c r="F18" s="103"/>
      <c r="G18" s="104">
        <f t="shared" si="1"/>
        <v>0</v>
      </c>
      <c r="H18" s="103"/>
      <c r="I18" s="105">
        <f t="shared" si="2"/>
        <v>0</v>
      </c>
      <c r="J18" s="103"/>
      <c r="K18" s="104">
        <f t="shared" si="3"/>
        <v>0</v>
      </c>
      <c r="L18" s="103"/>
      <c r="M18" s="104">
        <f t="shared" si="4"/>
        <v>0</v>
      </c>
      <c r="N18" s="103"/>
      <c r="O18" s="104">
        <f t="shared" si="5"/>
        <v>0</v>
      </c>
      <c r="P18" s="103"/>
      <c r="Q18" s="104">
        <f t="shared" si="6"/>
        <v>0</v>
      </c>
      <c r="R18" s="106">
        <f t="shared" si="7"/>
        <v>0</v>
      </c>
      <c r="S18" s="107">
        <f t="shared" si="8"/>
        <v>0</v>
      </c>
    </row>
    <row r="19" spans="1:19" ht="17.25" hidden="1" x14ac:dyDescent="0.25">
      <c r="A19" s="98"/>
      <c r="B19" s="99"/>
      <c r="C19" s="100"/>
      <c r="D19" s="101"/>
      <c r="E19" s="102">
        <f t="shared" si="0"/>
        <v>0</v>
      </c>
      <c r="F19" s="103"/>
      <c r="G19" s="104">
        <f t="shared" si="1"/>
        <v>0</v>
      </c>
      <c r="H19" s="103"/>
      <c r="I19" s="105">
        <f t="shared" si="2"/>
        <v>0</v>
      </c>
      <c r="J19" s="103"/>
      <c r="K19" s="104">
        <f t="shared" si="3"/>
        <v>0</v>
      </c>
      <c r="L19" s="103"/>
      <c r="M19" s="104">
        <f t="shared" si="4"/>
        <v>0</v>
      </c>
      <c r="N19" s="103"/>
      <c r="O19" s="104">
        <f t="shared" si="5"/>
        <v>0</v>
      </c>
      <c r="P19" s="103"/>
      <c r="Q19" s="104">
        <f t="shared" si="6"/>
        <v>0</v>
      </c>
      <c r="R19" s="106">
        <f t="shared" si="7"/>
        <v>0</v>
      </c>
      <c r="S19" s="107">
        <f t="shared" si="8"/>
        <v>0</v>
      </c>
    </row>
    <row r="20" spans="1:19" ht="17.25" hidden="1" x14ac:dyDescent="0.25">
      <c r="A20" s="108"/>
      <c r="B20" s="99"/>
      <c r="C20" s="100"/>
      <c r="D20" s="101"/>
      <c r="E20" s="102">
        <f t="shared" si="0"/>
        <v>0</v>
      </c>
      <c r="F20" s="103"/>
      <c r="G20" s="104">
        <f t="shared" si="1"/>
        <v>0</v>
      </c>
      <c r="H20" s="103"/>
      <c r="I20" s="105">
        <f t="shared" si="2"/>
        <v>0</v>
      </c>
      <c r="J20" s="103"/>
      <c r="K20" s="104">
        <f t="shared" si="3"/>
        <v>0</v>
      </c>
      <c r="L20" s="103"/>
      <c r="M20" s="104">
        <f t="shared" si="4"/>
        <v>0</v>
      </c>
      <c r="N20" s="103"/>
      <c r="O20" s="104">
        <f t="shared" si="5"/>
        <v>0</v>
      </c>
      <c r="P20" s="103"/>
      <c r="Q20" s="104">
        <f t="shared" si="6"/>
        <v>0</v>
      </c>
      <c r="R20" s="106">
        <f t="shared" si="7"/>
        <v>0</v>
      </c>
      <c r="S20" s="107">
        <f t="shared" si="8"/>
        <v>0</v>
      </c>
    </row>
    <row r="21" spans="1:19" ht="17.25" hidden="1" x14ac:dyDescent="0.25">
      <c r="A21" s="108"/>
      <c r="B21" s="99"/>
      <c r="C21" s="100"/>
      <c r="D21" s="101"/>
      <c r="E21" s="102">
        <f t="shared" si="0"/>
        <v>0</v>
      </c>
      <c r="F21" s="103"/>
      <c r="G21" s="104">
        <f t="shared" si="1"/>
        <v>0</v>
      </c>
      <c r="H21" s="103"/>
      <c r="I21" s="105">
        <f t="shared" si="2"/>
        <v>0</v>
      </c>
      <c r="J21" s="103"/>
      <c r="K21" s="104">
        <f t="shared" si="3"/>
        <v>0</v>
      </c>
      <c r="L21" s="103"/>
      <c r="M21" s="104">
        <f t="shared" si="4"/>
        <v>0</v>
      </c>
      <c r="N21" s="103"/>
      <c r="O21" s="104">
        <f t="shared" si="5"/>
        <v>0</v>
      </c>
      <c r="P21" s="103"/>
      <c r="Q21" s="104">
        <f t="shared" si="6"/>
        <v>0</v>
      </c>
      <c r="R21" s="106">
        <f t="shared" si="7"/>
        <v>0</v>
      </c>
      <c r="S21" s="107">
        <f t="shared" si="8"/>
        <v>0</v>
      </c>
    </row>
    <row r="22" spans="1:19" ht="17.25" hidden="1" x14ac:dyDescent="0.25">
      <c r="A22" s="108"/>
      <c r="B22" s="99"/>
      <c r="C22" s="100"/>
      <c r="D22" s="101"/>
      <c r="E22" s="102">
        <f t="shared" si="0"/>
        <v>0</v>
      </c>
      <c r="F22" s="103"/>
      <c r="G22" s="104">
        <f t="shared" si="1"/>
        <v>0</v>
      </c>
      <c r="H22" s="103"/>
      <c r="I22" s="105">
        <f t="shared" si="2"/>
        <v>0</v>
      </c>
      <c r="J22" s="103"/>
      <c r="K22" s="104">
        <f t="shared" si="3"/>
        <v>0</v>
      </c>
      <c r="L22" s="103"/>
      <c r="M22" s="104">
        <f t="shared" si="4"/>
        <v>0</v>
      </c>
      <c r="N22" s="103"/>
      <c r="O22" s="104">
        <f t="shared" si="5"/>
        <v>0</v>
      </c>
      <c r="P22" s="103"/>
      <c r="Q22" s="104">
        <f t="shared" si="6"/>
        <v>0</v>
      </c>
      <c r="R22" s="106">
        <f t="shared" si="7"/>
        <v>0</v>
      </c>
      <c r="S22" s="107">
        <f t="shared" si="8"/>
        <v>0</v>
      </c>
    </row>
    <row r="23" spans="1:19" ht="17.25" hidden="1" x14ac:dyDescent="0.25">
      <c r="A23" s="108"/>
      <c r="B23" s="99"/>
      <c r="C23" s="100"/>
      <c r="D23" s="101"/>
      <c r="E23" s="102">
        <f t="shared" si="0"/>
        <v>0</v>
      </c>
      <c r="F23" s="103"/>
      <c r="G23" s="104">
        <f t="shared" si="1"/>
        <v>0</v>
      </c>
      <c r="H23" s="103"/>
      <c r="I23" s="105">
        <f t="shared" si="2"/>
        <v>0</v>
      </c>
      <c r="J23" s="103"/>
      <c r="K23" s="104">
        <f t="shared" si="3"/>
        <v>0</v>
      </c>
      <c r="L23" s="103"/>
      <c r="M23" s="104">
        <f t="shared" si="4"/>
        <v>0</v>
      </c>
      <c r="N23" s="103"/>
      <c r="O23" s="104">
        <f t="shared" si="5"/>
        <v>0</v>
      </c>
      <c r="P23" s="103"/>
      <c r="Q23" s="104">
        <f t="shared" si="6"/>
        <v>0</v>
      </c>
      <c r="R23" s="106">
        <f t="shared" si="7"/>
        <v>0</v>
      </c>
      <c r="S23" s="107">
        <f t="shared" si="8"/>
        <v>0</v>
      </c>
    </row>
    <row r="24" spans="1:19" ht="17.25" hidden="1" x14ac:dyDescent="0.25">
      <c r="A24" s="108"/>
      <c r="B24" s="99"/>
      <c r="C24" s="100"/>
      <c r="D24" s="101"/>
      <c r="E24" s="102">
        <f t="shared" si="0"/>
        <v>0</v>
      </c>
      <c r="F24" s="103"/>
      <c r="G24" s="104">
        <f t="shared" si="1"/>
        <v>0</v>
      </c>
      <c r="H24" s="103"/>
      <c r="I24" s="105">
        <f t="shared" si="2"/>
        <v>0</v>
      </c>
      <c r="J24" s="103"/>
      <c r="K24" s="104">
        <f t="shared" si="3"/>
        <v>0</v>
      </c>
      <c r="L24" s="103"/>
      <c r="M24" s="104">
        <f t="shared" si="4"/>
        <v>0</v>
      </c>
      <c r="N24" s="103"/>
      <c r="O24" s="104">
        <f t="shared" si="5"/>
        <v>0</v>
      </c>
      <c r="P24" s="103"/>
      <c r="Q24" s="104">
        <f t="shared" si="6"/>
        <v>0</v>
      </c>
      <c r="R24" s="106">
        <f t="shared" si="7"/>
        <v>0</v>
      </c>
      <c r="S24" s="107">
        <f t="shared" si="8"/>
        <v>0</v>
      </c>
    </row>
    <row r="25" spans="1:19" ht="17.25" hidden="1" x14ac:dyDescent="0.25">
      <c r="A25" s="108"/>
      <c r="B25" s="99"/>
      <c r="C25" s="100"/>
      <c r="D25" s="101"/>
      <c r="E25" s="102">
        <f t="shared" si="0"/>
        <v>0</v>
      </c>
      <c r="F25" s="103"/>
      <c r="G25" s="104">
        <f t="shared" si="1"/>
        <v>0</v>
      </c>
      <c r="H25" s="103"/>
      <c r="I25" s="105">
        <f t="shared" si="2"/>
        <v>0</v>
      </c>
      <c r="J25" s="103"/>
      <c r="K25" s="104">
        <f t="shared" si="3"/>
        <v>0</v>
      </c>
      <c r="L25" s="103"/>
      <c r="M25" s="104">
        <f t="shared" si="4"/>
        <v>0</v>
      </c>
      <c r="N25" s="103"/>
      <c r="O25" s="104">
        <f t="shared" si="5"/>
        <v>0</v>
      </c>
      <c r="P25" s="103"/>
      <c r="Q25" s="104">
        <f t="shared" si="6"/>
        <v>0</v>
      </c>
      <c r="R25" s="106">
        <f t="shared" si="7"/>
        <v>0</v>
      </c>
      <c r="S25" s="107">
        <f t="shared" si="8"/>
        <v>0</v>
      </c>
    </row>
    <row r="26" spans="1:19" ht="17.25" hidden="1" x14ac:dyDescent="0.25">
      <c r="A26" s="108"/>
      <c r="B26" s="99"/>
      <c r="C26" s="100"/>
      <c r="D26" s="101"/>
      <c r="E26" s="102">
        <f t="shared" si="0"/>
        <v>0</v>
      </c>
      <c r="F26" s="103"/>
      <c r="G26" s="104">
        <f t="shared" si="1"/>
        <v>0</v>
      </c>
      <c r="H26" s="103"/>
      <c r="I26" s="105">
        <f t="shared" si="2"/>
        <v>0</v>
      </c>
      <c r="J26" s="103"/>
      <c r="K26" s="104">
        <f t="shared" si="3"/>
        <v>0</v>
      </c>
      <c r="L26" s="103"/>
      <c r="M26" s="104">
        <f t="shared" si="4"/>
        <v>0</v>
      </c>
      <c r="N26" s="103"/>
      <c r="O26" s="104">
        <f t="shared" si="5"/>
        <v>0</v>
      </c>
      <c r="P26" s="103"/>
      <c r="Q26" s="104">
        <f t="shared" si="6"/>
        <v>0</v>
      </c>
      <c r="R26" s="106">
        <f t="shared" si="7"/>
        <v>0</v>
      </c>
      <c r="S26" s="107">
        <f t="shared" si="8"/>
        <v>0</v>
      </c>
    </row>
    <row r="27" spans="1:19" ht="17.25" hidden="1" x14ac:dyDescent="0.25">
      <c r="A27" s="108"/>
      <c r="B27" s="99"/>
      <c r="C27" s="100"/>
      <c r="D27" s="101"/>
      <c r="E27" s="102">
        <f t="shared" si="0"/>
        <v>0</v>
      </c>
      <c r="F27" s="103"/>
      <c r="G27" s="104">
        <f t="shared" si="1"/>
        <v>0</v>
      </c>
      <c r="H27" s="103"/>
      <c r="I27" s="105">
        <f t="shared" si="2"/>
        <v>0</v>
      </c>
      <c r="J27" s="103"/>
      <c r="K27" s="104">
        <f t="shared" si="3"/>
        <v>0</v>
      </c>
      <c r="L27" s="103"/>
      <c r="M27" s="104">
        <f t="shared" si="4"/>
        <v>0</v>
      </c>
      <c r="N27" s="103"/>
      <c r="O27" s="104">
        <f t="shared" si="5"/>
        <v>0</v>
      </c>
      <c r="P27" s="103"/>
      <c r="Q27" s="104">
        <f t="shared" si="6"/>
        <v>0</v>
      </c>
      <c r="R27" s="106">
        <f t="shared" si="7"/>
        <v>0</v>
      </c>
      <c r="S27" s="107">
        <f t="shared" si="8"/>
        <v>0</v>
      </c>
    </row>
    <row r="28" spans="1:19" ht="17.25" hidden="1" x14ac:dyDescent="0.25">
      <c r="A28" s="108"/>
      <c r="B28" s="99"/>
      <c r="C28" s="100"/>
      <c r="D28" s="101"/>
      <c r="E28" s="102">
        <f t="shared" si="0"/>
        <v>0</v>
      </c>
      <c r="F28" s="103"/>
      <c r="G28" s="104">
        <f t="shared" si="1"/>
        <v>0</v>
      </c>
      <c r="H28" s="103"/>
      <c r="I28" s="105">
        <f t="shared" si="2"/>
        <v>0</v>
      </c>
      <c r="J28" s="103"/>
      <c r="K28" s="104">
        <f t="shared" si="3"/>
        <v>0</v>
      </c>
      <c r="L28" s="103"/>
      <c r="M28" s="104">
        <f t="shared" si="4"/>
        <v>0</v>
      </c>
      <c r="N28" s="103"/>
      <c r="O28" s="104">
        <f t="shared" si="5"/>
        <v>0</v>
      </c>
      <c r="P28" s="103"/>
      <c r="Q28" s="104">
        <f t="shared" si="6"/>
        <v>0</v>
      </c>
      <c r="R28" s="106">
        <f t="shared" si="7"/>
        <v>0</v>
      </c>
      <c r="S28" s="107">
        <f t="shared" si="8"/>
        <v>0</v>
      </c>
    </row>
    <row r="29" spans="1:19" ht="17.25" hidden="1" x14ac:dyDescent="0.25">
      <c r="A29" s="108"/>
      <c r="B29" s="99"/>
      <c r="C29" s="100"/>
      <c r="D29" s="101"/>
      <c r="E29" s="102">
        <f t="shared" si="0"/>
        <v>0</v>
      </c>
      <c r="F29" s="103"/>
      <c r="G29" s="104">
        <f t="shared" si="1"/>
        <v>0</v>
      </c>
      <c r="H29" s="103"/>
      <c r="I29" s="105">
        <f t="shared" si="2"/>
        <v>0</v>
      </c>
      <c r="J29" s="103"/>
      <c r="K29" s="104">
        <f t="shared" si="3"/>
        <v>0</v>
      </c>
      <c r="L29" s="103"/>
      <c r="M29" s="104">
        <f t="shared" si="4"/>
        <v>0</v>
      </c>
      <c r="N29" s="103"/>
      <c r="O29" s="104">
        <f t="shared" si="5"/>
        <v>0</v>
      </c>
      <c r="P29" s="103"/>
      <c r="Q29" s="104">
        <f t="shared" si="6"/>
        <v>0</v>
      </c>
      <c r="R29" s="106">
        <f t="shared" si="7"/>
        <v>0</v>
      </c>
      <c r="S29" s="107">
        <f t="shared" si="8"/>
        <v>0</v>
      </c>
    </row>
    <row r="30" spans="1:19" ht="17.25" hidden="1" x14ac:dyDescent="0.25">
      <c r="A30" s="98"/>
      <c r="B30" s="99"/>
      <c r="C30" s="100"/>
      <c r="D30" s="101"/>
      <c r="E30" s="102">
        <f t="shared" si="0"/>
        <v>0</v>
      </c>
      <c r="F30" s="103"/>
      <c r="G30" s="104">
        <f t="shared" si="1"/>
        <v>0</v>
      </c>
      <c r="H30" s="103"/>
      <c r="I30" s="105">
        <f t="shared" si="2"/>
        <v>0</v>
      </c>
      <c r="J30" s="103"/>
      <c r="K30" s="104"/>
      <c r="L30" s="103"/>
      <c r="M30" s="104">
        <f t="shared" si="4"/>
        <v>0</v>
      </c>
      <c r="N30" s="103"/>
      <c r="O30" s="104">
        <f t="shared" si="5"/>
        <v>0</v>
      </c>
      <c r="P30" s="103"/>
      <c r="Q30" s="104">
        <f t="shared" si="6"/>
        <v>0</v>
      </c>
      <c r="R30" s="106">
        <f t="shared" si="7"/>
        <v>0</v>
      </c>
      <c r="S30" s="107">
        <f t="shared" si="8"/>
        <v>0</v>
      </c>
    </row>
    <row r="31" spans="1:19" ht="17.25" hidden="1" x14ac:dyDescent="0.25">
      <c r="A31" s="98"/>
      <c r="B31" s="99"/>
      <c r="C31" s="100"/>
      <c r="D31" s="101"/>
      <c r="E31" s="102">
        <f t="shared" si="0"/>
        <v>0</v>
      </c>
      <c r="F31" s="103"/>
      <c r="G31" s="104">
        <f t="shared" si="1"/>
        <v>0</v>
      </c>
      <c r="H31" s="103"/>
      <c r="I31" s="105">
        <f t="shared" si="2"/>
        <v>0</v>
      </c>
      <c r="J31" s="103"/>
      <c r="K31" s="104">
        <f t="shared" si="3"/>
        <v>0</v>
      </c>
      <c r="L31" s="103"/>
      <c r="M31" s="104">
        <f t="shared" si="4"/>
        <v>0</v>
      </c>
      <c r="N31" s="103"/>
      <c r="O31" s="104">
        <f t="shared" si="5"/>
        <v>0</v>
      </c>
      <c r="P31" s="103"/>
      <c r="Q31" s="104">
        <f t="shared" si="6"/>
        <v>0</v>
      </c>
      <c r="R31" s="106">
        <f t="shared" si="7"/>
        <v>0</v>
      </c>
      <c r="S31" s="107">
        <f t="shared" si="8"/>
        <v>0</v>
      </c>
    </row>
    <row r="32" spans="1:19" ht="17.25" hidden="1" x14ac:dyDescent="0.25">
      <c r="A32" s="98"/>
      <c r="B32" s="99"/>
      <c r="C32" s="100"/>
      <c r="D32" s="101"/>
      <c r="E32" s="102">
        <f t="shared" si="0"/>
        <v>0</v>
      </c>
      <c r="F32" s="103"/>
      <c r="G32" s="104">
        <f t="shared" si="1"/>
        <v>0</v>
      </c>
      <c r="H32" s="103"/>
      <c r="I32" s="105">
        <f t="shared" si="2"/>
        <v>0</v>
      </c>
      <c r="J32" s="103"/>
      <c r="K32" s="104">
        <f t="shared" si="3"/>
        <v>0</v>
      </c>
      <c r="L32" s="103"/>
      <c r="M32" s="104">
        <f t="shared" si="4"/>
        <v>0</v>
      </c>
      <c r="N32" s="103"/>
      <c r="O32" s="104">
        <f t="shared" si="5"/>
        <v>0</v>
      </c>
      <c r="P32" s="103"/>
      <c r="Q32" s="104">
        <f t="shared" si="6"/>
        <v>0</v>
      </c>
      <c r="R32" s="106">
        <f t="shared" si="7"/>
        <v>0</v>
      </c>
      <c r="S32" s="107">
        <f t="shared" si="8"/>
        <v>0</v>
      </c>
    </row>
    <row r="33" spans="1:19" ht="17.25" hidden="1" x14ac:dyDescent="0.25">
      <c r="A33" s="98"/>
      <c r="B33" s="99"/>
      <c r="C33" s="100"/>
      <c r="D33" s="101"/>
      <c r="E33" s="102">
        <f t="shared" si="0"/>
        <v>0</v>
      </c>
      <c r="F33" s="103"/>
      <c r="G33" s="104">
        <f t="shared" si="1"/>
        <v>0</v>
      </c>
      <c r="H33" s="103"/>
      <c r="I33" s="105">
        <f t="shared" si="2"/>
        <v>0</v>
      </c>
      <c r="J33" s="103"/>
      <c r="K33" s="104">
        <f t="shared" si="3"/>
        <v>0</v>
      </c>
      <c r="L33" s="103"/>
      <c r="M33" s="104">
        <f t="shared" si="4"/>
        <v>0</v>
      </c>
      <c r="N33" s="103"/>
      <c r="O33" s="104">
        <f t="shared" si="5"/>
        <v>0</v>
      </c>
      <c r="P33" s="103"/>
      <c r="Q33" s="104">
        <f t="shared" si="6"/>
        <v>0</v>
      </c>
      <c r="R33" s="106">
        <f t="shared" si="7"/>
        <v>0</v>
      </c>
      <c r="S33" s="107">
        <f t="shared" si="8"/>
        <v>0</v>
      </c>
    </row>
    <row r="34" spans="1:19" ht="17.25" hidden="1" x14ac:dyDescent="0.25">
      <c r="A34" s="98"/>
      <c r="B34" s="99"/>
      <c r="C34" s="100"/>
      <c r="D34" s="101"/>
      <c r="E34" s="102">
        <f t="shared" si="0"/>
        <v>0</v>
      </c>
      <c r="F34" s="103"/>
      <c r="G34" s="104">
        <f t="shared" si="1"/>
        <v>0</v>
      </c>
      <c r="H34" s="103"/>
      <c r="I34" s="105">
        <f t="shared" si="2"/>
        <v>0</v>
      </c>
      <c r="J34" s="103"/>
      <c r="K34" s="104">
        <f t="shared" si="3"/>
        <v>0</v>
      </c>
      <c r="L34" s="103"/>
      <c r="M34" s="104">
        <f t="shared" si="4"/>
        <v>0</v>
      </c>
      <c r="N34" s="103"/>
      <c r="O34" s="104">
        <f t="shared" si="5"/>
        <v>0</v>
      </c>
      <c r="P34" s="103"/>
      <c r="Q34" s="104">
        <f t="shared" si="6"/>
        <v>0</v>
      </c>
      <c r="R34" s="106">
        <f t="shared" si="7"/>
        <v>0</v>
      </c>
      <c r="S34" s="107">
        <f t="shared" si="8"/>
        <v>0</v>
      </c>
    </row>
    <row r="35" spans="1:19" ht="17.25" hidden="1" x14ac:dyDescent="0.25">
      <c r="A35" s="98"/>
      <c r="B35" s="99"/>
      <c r="C35" s="100"/>
      <c r="D35" s="101"/>
      <c r="E35" s="102">
        <f t="shared" si="0"/>
        <v>0</v>
      </c>
      <c r="F35" s="103"/>
      <c r="G35" s="104">
        <f t="shared" si="1"/>
        <v>0</v>
      </c>
      <c r="H35" s="103"/>
      <c r="I35" s="105">
        <f t="shared" si="2"/>
        <v>0</v>
      </c>
      <c r="J35" s="103"/>
      <c r="K35" s="104">
        <f t="shared" si="3"/>
        <v>0</v>
      </c>
      <c r="L35" s="103"/>
      <c r="M35" s="104">
        <f t="shared" si="4"/>
        <v>0</v>
      </c>
      <c r="N35" s="103"/>
      <c r="O35" s="104">
        <f t="shared" si="5"/>
        <v>0</v>
      </c>
      <c r="P35" s="103"/>
      <c r="Q35" s="104">
        <f t="shared" si="6"/>
        <v>0</v>
      </c>
      <c r="R35" s="106">
        <f t="shared" si="7"/>
        <v>0</v>
      </c>
      <c r="S35" s="107">
        <f t="shared" si="8"/>
        <v>0</v>
      </c>
    </row>
    <row r="36" spans="1:19" ht="17.25" hidden="1" x14ac:dyDescent="0.25">
      <c r="A36" s="98"/>
      <c r="B36" s="99"/>
      <c r="C36" s="100"/>
      <c r="D36" s="101"/>
      <c r="E36" s="102">
        <f t="shared" si="0"/>
        <v>0</v>
      </c>
      <c r="F36" s="103"/>
      <c r="G36" s="104">
        <f t="shared" si="1"/>
        <v>0</v>
      </c>
      <c r="H36" s="103"/>
      <c r="I36" s="105">
        <f t="shared" si="2"/>
        <v>0</v>
      </c>
      <c r="J36" s="103"/>
      <c r="K36" s="104">
        <f t="shared" si="3"/>
        <v>0</v>
      </c>
      <c r="L36" s="103"/>
      <c r="M36" s="104">
        <f t="shared" si="4"/>
        <v>0</v>
      </c>
      <c r="N36" s="103"/>
      <c r="O36" s="104">
        <f t="shared" si="5"/>
        <v>0</v>
      </c>
      <c r="P36" s="103"/>
      <c r="Q36" s="104">
        <f t="shared" si="6"/>
        <v>0</v>
      </c>
      <c r="R36" s="106">
        <f t="shared" si="7"/>
        <v>0</v>
      </c>
      <c r="S36" s="107">
        <f t="shared" si="8"/>
        <v>0</v>
      </c>
    </row>
    <row r="37" spans="1:19" ht="17.25" hidden="1" x14ac:dyDescent="0.25">
      <c r="A37" s="98"/>
      <c r="B37" s="99"/>
      <c r="C37" s="100"/>
      <c r="D37" s="101"/>
      <c r="E37" s="102">
        <f t="shared" si="0"/>
        <v>0</v>
      </c>
      <c r="F37" s="103"/>
      <c r="G37" s="104">
        <f t="shared" si="1"/>
        <v>0</v>
      </c>
      <c r="H37" s="103"/>
      <c r="I37" s="105">
        <f t="shared" si="2"/>
        <v>0</v>
      </c>
      <c r="J37" s="103"/>
      <c r="K37" s="104">
        <f t="shared" si="3"/>
        <v>0</v>
      </c>
      <c r="L37" s="103"/>
      <c r="M37" s="104">
        <f t="shared" si="4"/>
        <v>0</v>
      </c>
      <c r="N37" s="103"/>
      <c r="O37" s="104">
        <f t="shared" si="5"/>
        <v>0</v>
      </c>
      <c r="P37" s="103"/>
      <c r="Q37" s="104">
        <f t="shared" si="6"/>
        <v>0</v>
      </c>
      <c r="R37" s="106">
        <f t="shared" si="7"/>
        <v>0</v>
      </c>
      <c r="S37" s="107">
        <f t="shared" si="8"/>
        <v>0</v>
      </c>
    </row>
    <row r="38" spans="1:19" ht="17.25" hidden="1" x14ac:dyDescent="0.25">
      <c r="A38" s="98"/>
      <c r="B38" s="99"/>
      <c r="C38" s="100"/>
      <c r="D38" s="101"/>
      <c r="E38" s="102">
        <f t="shared" si="0"/>
        <v>0</v>
      </c>
      <c r="F38" s="103"/>
      <c r="G38" s="104">
        <f t="shared" si="1"/>
        <v>0</v>
      </c>
      <c r="H38" s="103"/>
      <c r="I38" s="105">
        <f t="shared" si="2"/>
        <v>0</v>
      </c>
      <c r="J38" s="103"/>
      <c r="K38" s="104">
        <f t="shared" si="3"/>
        <v>0</v>
      </c>
      <c r="L38" s="103"/>
      <c r="M38" s="104">
        <f t="shared" si="4"/>
        <v>0</v>
      </c>
      <c r="N38" s="103"/>
      <c r="O38" s="104">
        <f t="shared" si="5"/>
        <v>0</v>
      </c>
      <c r="P38" s="103"/>
      <c r="Q38" s="104">
        <f t="shared" si="6"/>
        <v>0</v>
      </c>
      <c r="R38" s="106">
        <f t="shared" si="7"/>
        <v>0</v>
      </c>
      <c r="S38" s="107">
        <f t="shared" si="8"/>
        <v>0</v>
      </c>
    </row>
    <row r="39" spans="1:19" ht="17.25" hidden="1" x14ac:dyDescent="0.25">
      <c r="A39" s="98"/>
      <c r="B39" s="99"/>
      <c r="C39" s="100"/>
      <c r="D39" s="101"/>
      <c r="E39" s="102">
        <f t="shared" si="0"/>
        <v>0</v>
      </c>
      <c r="F39" s="103"/>
      <c r="G39" s="104">
        <f t="shared" si="1"/>
        <v>0</v>
      </c>
      <c r="H39" s="103"/>
      <c r="I39" s="105">
        <f t="shared" si="2"/>
        <v>0</v>
      </c>
      <c r="J39" s="103"/>
      <c r="K39" s="104">
        <f t="shared" si="3"/>
        <v>0</v>
      </c>
      <c r="L39" s="103"/>
      <c r="M39" s="104">
        <f t="shared" si="4"/>
        <v>0</v>
      </c>
      <c r="N39" s="103"/>
      <c r="O39" s="104">
        <f t="shared" si="5"/>
        <v>0</v>
      </c>
      <c r="P39" s="103"/>
      <c r="Q39" s="104">
        <f t="shared" si="6"/>
        <v>0</v>
      </c>
      <c r="R39" s="106">
        <f t="shared" si="7"/>
        <v>0</v>
      </c>
      <c r="S39" s="107">
        <f t="shared" si="8"/>
        <v>0</v>
      </c>
    </row>
    <row r="40" spans="1:19" ht="17.25" hidden="1" x14ac:dyDescent="0.25">
      <c r="A40" s="98"/>
      <c r="B40" s="99"/>
      <c r="C40" s="100"/>
      <c r="D40" s="101"/>
      <c r="E40" s="102">
        <f t="shared" si="0"/>
        <v>0</v>
      </c>
      <c r="F40" s="103"/>
      <c r="G40" s="104">
        <f t="shared" si="1"/>
        <v>0</v>
      </c>
      <c r="H40" s="103"/>
      <c r="I40" s="105">
        <f t="shared" si="2"/>
        <v>0</v>
      </c>
      <c r="J40" s="103"/>
      <c r="K40" s="104">
        <f t="shared" si="3"/>
        <v>0</v>
      </c>
      <c r="L40" s="103"/>
      <c r="M40" s="104">
        <f t="shared" si="4"/>
        <v>0</v>
      </c>
      <c r="N40" s="103"/>
      <c r="O40" s="104">
        <f t="shared" si="5"/>
        <v>0</v>
      </c>
      <c r="P40" s="103"/>
      <c r="Q40" s="104">
        <f t="shared" si="6"/>
        <v>0</v>
      </c>
      <c r="R40" s="106">
        <f t="shared" si="7"/>
        <v>0</v>
      </c>
      <c r="S40" s="107">
        <f t="shared" si="8"/>
        <v>0</v>
      </c>
    </row>
    <row r="41" spans="1:19" ht="17.25" hidden="1" x14ac:dyDescent="0.25">
      <c r="A41" s="98"/>
      <c r="B41" s="99"/>
      <c r="C41" s="100"/>
      <c r="D41" s="101"/>
      <c r="E41" s="102">
        <f t="shared" si="0"/>
        <v>0</v>
      </c>
      <c r="F41" s="103"/>
      <c r="G41" s="104">
        <f t="shared" si="1"/>
        <v>0</v>
      </c>
      <c r="H41" s="103"/>
      <c r="I41" s="105">
        <f t="shared" si="2"/>
        <v>0</v>
      </c>
      <c r="J41" s="103"/>
      <c r="K41" s="104">
        <f t="shared" si="3"/>
        <v>0</v>
      </c>
      <c r="L41" s="103"/>
      <c r="M41" s="104">
        <f t="shared" si="4"/>
        <v>0</v>
      </c>
      <c r="N41" s="103"/>
      <c r="O41" s="104">
        <f t="shared" si="5"/>
        <v>0</v>
      </c>
      <c r="P41" s="103"/>
      <c r="Q41" s="104">
        <f t="shared" si="6"/>
        <v>0</v>
      </c>
      <c r="R41" s="106">
        <f t="shared" si="7"/>
        <v>0</v>
      </c>
      <c r="S41" s="107">
        <f t="shared" si="8"/>
        <v>0</v>
      </c>
    </row>
    <row r="42" spans="1:19" ht="17.25" hidden="1" x14ac:dyDescent="0.25">
      <c r="A42" s="98"/>
      <c r="B42" s="99"/>
      <c r="C42" s="100"/>
      <c r="D42" s="101"/>
      <c r="E42" s="102">
        <f t="shared" si="0"/>
        <v>0</v>
      </c>
      <c r="F42" s="103"/>
      <c r="G42" s="104">
        <f t="shared" si="1"/>
        <v>0</v>
      </c>
      <c r="H42" s="103"/>
      <c r="I42" s="105">
        <f t="shared" si="2"/>
        <v>0</v>
      </c>
      <c r="J42" s="103"/>
      <c r="K42" s="104">
        <f t="shared" si="3"/>
        <v>0</v>
      </c>
      <c r="L42" s="103"/>
      <c r="M42" s="104">
        <f t="shared" si="4"/>
        <v>0</v>
      </c>
      <c r="N42" s="103"/>
      <c r="O42" s="104">
        <f t="shared" si="5"/>
        <v>0</v>
      </c>
      <c r="P42" s="103"/>
      <c r="Q42" s="104">
        <f t="shared" si="6"/>
        <v>0</v>
      </c>
      <c r="R42" s="106">
        <f t="shared" si="7"/>
        <v>0</v>
      </c>
      <c r="S42" s="107">
        <f t="shared" si="8"/>
        <v>0</v>
      </c>
    </row>
    <row r="43" spans="1:19" ht="17.25" hidden="1" x14ac:dyDescent="0.25">
      <c r="A43" s="98"/>
      <c r="B43" s="99"/>
      <c r="C43" s="100"/>
      <c r="D43" s="101"/>
      <c r="E43" s="102">
        <f t="shared" si="0"/>
        <v>0</v>
      </c>
      <c r="F43" s="103"/>
      <c r="G43" s="104">
        <f t="shared" si="1"/>
        <v>0</v>
      </c>
      <c r="H43" s="103"/>
      <c r="I43" s="105">
        <f t="shared" si="2"/>
        <v>0</v>
      </c>
      <c r="J43" s="103"/>
      <c r="K43" s="104">
        <f t="shared" si="3"/>
        <v>0</v>
      </c>
      <c r="L43" s="103"/>
      <c r="M43" s="104">
        <f t="shared" si="4"/>
        <v>0</v>
      </c>
      <c r="N43" s="103"/>
      <c r="O43" s="104">
        <f t="shared" si="5"/>
        <v>0</v>
      </c>
      <c r="P43" s="103"/>
      <c r="Q43" s="104">
        <f t="shared" si="6"/>
        <v>0</v>
      </c>
      <c r="R43" s="106">
        <f t="shared" si="7"/>
        <v>0</v>
      </c>
      <c r="S43" s="107">
        <f t="shared" si="8"/>
        <v>0</v>
      </c>
    </row>
    <row r="44" spans="1:19" ht="17.25" hidden="1" x14ac:dyDescent="0.25">
      <c r="A44" s="98"/>
      <c r="B44" s="99"/>
      <c r="C44" s="100"/>
      <c r="D44" s="101"/>
      <c r="E44" s="102">
        <f t="shared" si="0"/>
        <v>0</v>
      </c>
      <c r="F44" s="103"/>
      <c r="G44" s="104">
        <f t="shared" si="1"/>
        <v>0</v>
      </c>
      <c r="H44" s="103"/>
      <c r="I44" s="105">
        <f t="shared" si="2"/>
        <v>0</v>
      </c>
      <c r="J44" s="103"/>
      <c r="K44" s="104">
        <f t="shared" si="3"/>
        <v>0</v>
      </c>
      <c r="L44" s="103"/>
      <c r="M44" s="104">
        <f t="shared" si="4"/>
        <v>0</v>
      </c>
      <c r="N44" s="103"/>
      <c r="O44" s="104">
        <f t="shared" si="5"/>
        <v>0</v>
      </c>
      <c r="P44" s="103"/>
      <c r="Q44" s="104">
        <f t="shared" si="6"/>
        <v>0</v>
      </c>
      <c r="R44" s="106">
        <f t="shared" si="7"/>
        <v>0</v>
      </c>
      <c r="S44" s="107">
        <f t="shared" si="8"/>
        <v>0</v>
      </c>
    </row>
    <row r="45" spans="1:19" ht="17.25" hidden="1" x14ac:dyDescent="0.25">
      <c r="A45" s="98"/>
      <c r="B45" s="99"/>
      <c r="C45" s="100"/>
      <c r="D45" s="101"/>
      <c r="E45" s="102">
        <f t="shared" si="0"/>
        <v>0</v>
      </c>
      <c r="F45" s="103"/>
      <c r="G45" s="104">
        <f t="shared" si="1"/>
        <v>0</v>
      </c>
      <c r="H45" s="103"/>
      <c r="I45" s="105">
        <f t="shared" si="2"/>
        <v>0</v>
      </c>
      <c r="J45" s="103"/>
      <c r="K45" s="104">
        <f t="shared" si="3"/>
        <v>0</v>
      </c>
      <c r="L45" s="103"/>
      <c r="M45" s="104">
        <f t="shared" si="4"/>
        <v>0</v>
      </c>
      <c r="N45" s="103"/>
      <c r="O45" s="104">
        <f t="shared" si="5"/>
        <v>0</v>
      </c>
      <c r="P45" s="103"/>
      <c r="Q45" s="104">
        <f t="shared" si="6"/>
        <v>0</v>
      </c>
      <c r="R45" s="106">
        <f t="shared" si="7"/>
        <v>0</v>
      </c>
      <c r="S45" s="107">
        <f t="shared" si="8"/>
        <v>0</v>
      </c>
    </row>
    <row r="46" spans="1:19" ht="17.25" hidden="1" x14ac:dyDescent="0.25">
      <c r="A46" s="98"/>
      <c r="B46" s="99"/>
      <c r="C46" s="100"/>
      <c r="D46" s="101"/>
      <c r="E46" s="102">
        <f t="shared" si="0"/>
        <v>0</v>
      </c>
      <c r="F46" s="103"/>
      <c r="G46" s="104">
        <f t="shared" si="1"/>
        <v>0</v>
      </c>
      <c r="H46" s="103"/>
      <c r="I46" s="105">
        <f t="shared" si="2"/>
        <v>0</v>
      </c>
      <c r="J46" s="103"/>
      <c r="K46" s="104">
        <f t="shared" si="3"/>
        <v>0</v>
      </c>
      <c r="L46" s="103"/>
      <c r="M46" s="104">
        <f t="shared" si="4"/>
        <v>0</v>
      </c>
      <c r="N46" s="103"/>
      <c r="O46" s="104">
        <f t="shared" si="5"/>
        <v>0</v>
      </c>
      <c r="P46" s="103"/>
      <c r="Q46" s="104">
        <f t="shared" si="6"/>
        <v>0</v>
      </c>
      <c r="R46" s="106">
        <f t="shared" si="7"/>
        <v>0</v>
      </c>
      <c r="S46" s="107">
        <f t="shared" si="8"/>
        <v>0</v>
      </c>
    </row>
    <row r="47" spans="1:19" ht="17.25" x14ac:dyDescent="0.25">
      <c r="A47" s="98"/>
      <c r="B47" s="99"/>
      <c r="C47" s="100"/>
      <c r="D47" s="101"/>
      <c r="E47" s="102">
        <f t="shared" si="0"/>
        <v>0</v>
      </c>
      <c r="F47" s="103"/>
      <c r="G47" s="104">
        <f t="shared" si="1"/>
        <v>0</v>
      </c>
      <c r="H47" s="103"/>
      <c r="I47" s="105">
        <f t="shared" si="2"/>
        <v>0</v>
      </c>
      <c r="J47" s="103"/>
      <c r="K47" s="104">
        <f t="shared" si="3"/>
        <v>0</v>
      </c>
      <c r="L47" s="103"/>
      <c r="M47" s="104">
        <f t="shared" si="4"/>
        <v>0</v>
      </c>
      <c r="N47" s="103"/>
      <c r="O47" s="104">
        <f t="shared" si="5"/>
        <v>0</v>
      </c>
      <c r="P47" s="103"/>
      <c r="Q47" s="104">
        <f t="shared" si="6"/>
        <v>0</v>
      </c>
      <c r="R47" s="106">
        <f t="shared" si="7"/>
        <v>0</v>
      </c>
      <c r="S47" s="107">
        <f t="shared" si="8"/>
        <v>0</v>
      </c>
    </row>
    <row r="48" spans="1:19" ht="18" thickBot="1" x14ac:dyDescent="0.3">
      <c r="A48" s="109"/>
      <c r="B48" s="110"/>
      <c r="C48" s="111"/>
      <c r="D48" s="112"/>
      <c r="E48" s="113"/>
      <c r="F48" s="114"/>
      <c r="G48" s="115"/>
      <c r="H48" s="112"/>
      <c r="I48" s="116"/>
      <c r="J48" s="114"/>
      <c r="K48" s="115">
        <f t="shared" si="3"/>
        <v>0</v>
      </c>
      <c r="L48" s="114"/>
      <c r="M48" s="115">
        <f t="shared" si="4"/>
        <v>0</v>
      </c>
      <c r="N48" s="114"/>
      <c r="O48" s="115">
        <f t="shared" si="5"/>
        <v>0</v>
      </c>
      <c r="P48" s="114"/>
      <c r="Q48" s="115">
        <f t="shared" si="6"/>
        <v>0</v>
      </c>
      <c r="R48" s="106">
        <f t="shared" si="7"/>
        <v>0</v>
      </c>
      <c r="S48" s="117">
        <f t="shared" si="8"/>
        <v>0</v>
      </c>
    </row>
    <row r="49" spans="1:19" ht="18" thickBot="1" x14ac:dyDescent="0.35">
      <c r="A49" s="173" t="s">
        <v>7</v>
      </c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88"/>
    </row>
    <row r="50" spans="1:19" ht="18" thickBot="1" x14ac:dyDescent="0.35">
      <c r="A50" s="118" t="s">
        <v>8</v>
      </c>
      <c r="B50" s="175"/>
      <c r="C50" s="176"/>
      <c r="D50" s="119"/>
      <c r="E50" s="120">
        <f>+SUM(E12:E48)</f>
        <v>1929000</v>
      </c>
      <c r="F50" s="121"/>
      <c r="G50" s="122">
        <f>+SUM(G12:G48)</f>
        <v>1400000</v>
      </c>
      <c r="H50" s="121"/>
      <c r="I50" s="122">
        <f>+SUM(I12:I49)</f>
        <v>0</v>
      </c>
      <c r="J50" s="121"/>
      <c r="K50" s="122">
        <f>+SUM(K12:K48)</f>
        <v>2373491.4700000002</v>
      </c>
      <c r="L50" s="121"/>
      <c r="M50" s="122">
        <f>+SUM(M12:M48)</f>
        <v>2056384</v>
      </c>
      <c r="N50" s="121"/>
      <c r="O50" s="122">
        <f>+SUM(O12:O49)</f>
        <v>0</v>
      </c>
      <c r="P50" s="121"/>
      <c r="Q50" s="122">
        <f>+SUM(Q12:Q49)</f>
        <v>0</v>
      </c>
      <c r="R50" s="123"/>
      <c r="S50" s="122">
        <f>+SUM(S12:S49)</f>
        <v>1400000</v>
      </c>
    </row>
    <row r="51" spans="1:19" ht="14.25" customHeight="1" thickBot="1" x14ac:dyDescent="0.3">
      <c r="A51" s="124"/>
      <c r="B51" s="125"/>
      <c r="C51" s="125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</row>
    <row r="52" spans="1:19" ht="14.25" customHeight="1" x14ac:dyDescent="0.3">
      <c r="A52" s="127" t="s">
        <v>9</v>
      </c>
      <c r="B52" s="177"/>
      <c r="C52" s="170"/>
      <c r="D52" s="128">
        <v>0</v>
      </c>
      <c r="E52" s="129">
        <f>+E50*D52</f>
        <v>0</v>
      </c>
      <c r="F52" s="128">
        <v>0</v>
      </c>
      <c r="G52" s="130">
        <f>+G50*F52</f>
        <v>0</v>
      </c>
      <c r="H52" s="128">
        <v>0</v>
      </c>
      <c r="I52" s="130">
        <f>+I50*H52</f>
        <v>0</v>
      </c>
      <c r="J52" s="128">
        <v>0</v>
      </c>
      <c r="K52" s="130">
        <f>+K50*J52</f>
        <v>0</v>
      </c>
      <c r="L52" s="128">
        <v>0</v>
      </c>
      <c r="M52" s="130">
        <f>+M50*L52</f>
        <v>0</v>
      </c>
      <c r="N52" s="128">
        <v>0</v>
      </c>
      <c r="O52" s="130">
        <f>+O50*N52</f>
        <v>0</v>
      </c>
      <c r="P52" s="128">
        <v>0</v>
      </c>
      <c r="Q52" s="130">
        <f>+Q50*P52</f>
        <v>0</v>
      </c>
      <c r="R52" s="131"/>
      <c r="S52" s="130">
        <f>+S50*R52</f>
        <v>0</v>
      </c>
    </row>
    <row r="53" spans="1:19" ht="14.25" customHeight="1" x14ac:dyDescent="0.3">
      <c r="A53" s="132" t="s">
        <v>10</v>
      </c>
      <c r="B53" s="159">
        <v>1</v>
      </c>
      <c r="C53" s="160"/>
      <c r="D53" s="133"/>
      <c r="E53" s="134"/>
      <c r="F53" s="133"/>
      <c r="G53" s="102"/>
      <c r="H53" s="133"/>
      <c r="I53" s="102"/>
      <c r="J53" s="133"/>
      <c r="K53" s="102"/>
      <c r="L53" s="133"/>
      <c r="M53" s="102"/>
      <c r="N53" s="133"/>
      <c r="O53" s="102"/>
      <c r="P53" s="133"/>
      <c r="Q53" s="102"/>
      <c r="R53" s="135"/>
      <c r="S53" s="102"/>
    </row>
    <row r="54" spans="1:19" ht="14.25" customHeight="1" x14ac:dyDescent="0.3">
      <c r="A54" s="132" t="s">
        <v>11</v>
      </c>
      <c r="B54" s="159"/>
      <c r="C54" s="160"/>
      <c r="D54" s="133"/>
      <c r="E54" s="134">
        <f>+E50-E52</f>
        <v>1929000</v>
      </c>
      <c r="F54" s="133"/>
      <c r="G54" s="102">
        <f>+G50-G52</f>
        <v>1400000</v>
      </c>
      <c r="H54" s="133"/>
      <c r="I54" s="102">
        <f>+I50-I52</f>
        <v>0</v>
      </c>
      <c r="J54" s="133"/>
      <c r="K54" s="102">
        <f>+K50-K52</f>
        <v>2373491.4700000002</v>
      </c>
      <c r="L54" s="133"/>
      <c r="M54" s="102">
        <f>+M50-M52</f>
        <v>2056384</v>
      </c>
      <c r="N54" s="133"/>
      <c r="O54" s="102">
        <f>+O50-O52</f>
        <v>0</v>
      </c>
      <c r="P54" s="133"/>
      <c r="Q54" s="102">
        <f>+Q50-Q52</f>
        <v>0</v>
      </c>
      <c r="R54" s="135"/>
      <c r="S54" s="102">
        <f>+S50-S52</f>
        <v>1400000</v>
      </c>
    </row>
    <row r="55" spans="1:19" ht="14.25" customHeight="1" x14ac:dyDescent="0.3">
      <c r="A55" s="132" t="s">
        <v>12</v>
      </c>
      <c r="B55" s="183">
        <v>0.21</v>
      </c>
      <c r="C55" s="160"/>
      <c r="D55" s="133"/>
      <c r="E55" s="134">
        <f>(+E54)*B55</f>
        <v>405090</v>
      </c>
      <c r="F55" s="133"/>
      <c r="G55" s="102">
        <f>(+G54)*B55</f>
        <v>294000</v>
      </c>
      <c r="H55" s="133"/>
      <c r="I55" s="102">
        <f>(+I54)*B55</f>
        <v>0</v>
      </c>
      <c r="J55" s="133"/>
      <c r="K55" s="102"/>
      <c r="L55" s="133"/>
      <c r="M55" s="102">
        <f>(+M54)*B55</f>
        <v>431840.63999999996</v>
      </c>
      <c r="N55" s="133"/>
      <c r="O55" s="102">
        <f>(+O54)*B55</f>
        <v>0</v>
      </c>
      <c r="P55" s="133"/>
      <c r="Q55" s="102">
        <f>(+Q54)*B55</f>
        <v>0</v>
      </c>
      <c r="R55" s="135"/>
      <c r="S55" s="102">
        <f>S54*B55</f>
        <v>294000</v>
      </c>
    </row>
    <row r="56" spans="1:19" ht="14.25" customHeight="1" x14ac:dyDescent="0.25">
      <c r="A56" s="136" t="s">
        <v>13</v>
      </c>
      <c r="B56" s="137"/>
      <c r="C56" s="138"/>
      <c r="D56" s="139"/>
      <c r="E56" s="140"/>
      <c r="F56" s="139"/>
      <c r="G56" s="141"/>
      <c r="H56" s="139"/>
      <c r="I56" s="141"/>
      <c r="J56" s="139"/>
      <c r="K56" s="141"/>
      <c r="L56" s="139"/>
      <c r="M56" s="141"/>
      <c r="N56" s="139"/>
      <c r="O56" s="141"/>
      <c r="P56" s="139"/>
      <c r="Q56" s="141"/>
      <c r="R56" s="142"/>
      <c r="S56" s="141"/>
    </row>
    <row r="57" spans="1:19" ht="14.25" customHeight="1" thickBot="1" x14ac:dyDescent="0.3">
      <c r="A57" s="143" t="s">
        <v>14</v>
      </c>
      <c r="B57" s="144"/>
      <c r="C57" s="145"/>
      <c r="D57" s="146"/>
      <c r="E57" s="147"/>
      <c r="F57" s="146"/>
      <c r="G57" s="113"/>
      <c r="H57" s="146"/>
      <c r="I57" s="113"/>
      <c r="J57" s="146"/>
      <c r="K57" s="113"/>
      <c r="L57" s="146"/>
      <c r="M57" s="113"/>
      <c r="N57" s="146"/>
      <c r="O57" s="113"/>
      <c r="P57" s="146"/>
      <c r="Q57" s="113"/>
      <c r="R57" s="148"/>
      <c r="S57" s="113"/>
    </row>
    <row r="58" spans="1:19" ht="14.25" customHeight="1" thickBot="1" x14ac:dyDescent="0.3">
      <c r="A58" s="124"/>
      <c r="B58" s="125"/>
      <c r="C58" s="125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</row>
    <row r="59" spans="1:19" ht="14.25" customHeight="1" thickBot="1" x14ac:dyDescent="0.3">
      <c r="A59" s="149" t="s">
        <v>15</v>
      </c>
      <c r="B59" s="150"/>
      <c r="C59" s="151"/>
      <c r="D59" s="152"/>
      <c r="E59" s="153">
        <f>+E54+E55+E57+E56</f>
        <v>2334090</v>
      </c>
      <c r="F59" s="154"/>
      <c r="G59" s="153">
        <f>+G54+G55+G57+G56</f>
        <v>1694000</v>
      </c>
      <c r="H59" s="154"/>
      <c r="I59" s="153">
        <f>+I54+I55+I57+I56</f>
        <v>0</v>
      </c>
      <c r="J59" s="154"/>
      <c r="K59" s="153">
        <f>+K54+K55+K57+K56</f>
        <v>2373491.4700000002</v>
      </c>
      <c r="L59" s="154"/>
      <c r="M59" s="153">
        <f>+M54+M55+M57+M56</f>
        <v>2488224.64</v>
      </c>
      <c r="N59" s="152"/>
      <c r="O59" s="155">
        <f>+O54+O55+O57+O56</f>
        <v>0</v>
      </c>
      <c r="P59" s="152"/>
      <c r="Q59" s="155">
        <f>+Q54+Q55+Q57+Q56</f>
        <v>0</v>
      </c>
      <c r="R59" s="152"/>
      <c r="S59" s="153">
        <f>SUM(S54:S57)</f>
        <v>1694000</v>
      </c>
    </row>
    <row r="60" spans="1:19" ht="78.75" customHeight="1" thickBot="1" x14ac:dyDescent="0.35">
      <c r="A60" s="156" t="s">
        <v>16</v>
      </c>
      <c r="B60" s="184"/>
      <c r="C60" s="179"/>
      <c r="D60" s="178" t="s">
        <v>107</v>
      </c>
      <c r="E60" s="179"/>
      <c r="F60" s="185" t="s">
        <v>105</v>
      </c>
      <c r="G60" s="179"/>
      <c r="H60" s="185" t="s">
        <v>108</v>
      </c>
      <c r="I60" s="179"/>
      <c r="J60" s="185" t="s">
        <v>103</v>
      </c>
      <c r="K60" s="179"/>
      <c r="L60" s="185" t="s">
        <v>104</v>
      </c>
      <c r="M60" s="179"/>
      <c r="N60" s="178"/>
      <c r="O60" s="179"/>
      <c r="P60" s="178"/>
      <c r="Q60" s="179"/>
      <c r="R60" s="180"/>
      <c r="S60" s="179"/>
    </row>
    <row r="61" spans="1:19" ht="14.25" customHeight="1" x14ac:dyDescent="0.25">
      <c r="J61" s="74"/>
      <c r="L61" s="181"/>
    </row>
    <row r="62" spans="1:19" ht="14.25" customHeight="1" x14ac:dyDescent="0.25">
      <c r="J62" s="75"/>
      <c r="K62" s="76"/>
      <c r="L62" s="182"/>
      <c r="M62" s="76"/>
    </row>
    <row r="63" spans="1:19" ht="14.25" customHeight="1" x14ac:dyDescent="0.25">
      <c r="B63" s="77"/>
      <c r="G63" s="78"/>
      <c r="I63" s="78"/>
      <c r="J63" s="75"/>
      <c r="K63" s="78"/>
      <c r="L63" s="182"/>
      <c r="M63" s="78"/>
      <c r="O63" s="78"/>
      <c r="Q63" s="78"/>
    </row>
    <row r="64" spans="1:19" ht="14.25" customHeight="1" x14ac:dyDescent="0.25">
      <c r="J64" s="75"/>
      <c r="L64" s="182"/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8">
    <mergeCell ref="J60:K60"/>
    <mergeCell ref="L60:M60"/>
    <mergeCell ref="N60:O60"/>
    <mergeCell ref="P60:Q60"/>
    <mergeCell ref="R60:S60"/>
    <mergeCell ref="L61:L64"/>
    <mergeCell ref="B54:C54"/>
    <mergeCell ref="B55:C55"/>
    <mergeCell ref="B60:C60"/>
    <mergeCell ref="D60:E60"/>
    <mergeCell ref="F60:G60"/>
    <mergeCell ref="H60:I60"/>
    <mergeCell ref="P10:Q10"/>
    <mergeCell ref="R10:S10"/>
    <mergeCell ref="A49:R49"/>
    <mergeCell ref="B50:C50"/>
    <mergeCell ref="B52:C52"/>
    <mergeCell ref="B53:C53"/>
    <mergeCell ref="A8:S8"/>
    <mergeCell ref="A10:A11"/>
    <mergeCell ref="B10:B11"/>
    <mergeCell ref="C10:C11"/>
    <mergeCell ref="D10:E10"/>
    <mergeCell ref="F10:G10"/>
    <mergeCell ref="H10:I10"/>
    <mergeCell ref="J10:K10"/>
    <mergeCell ref="L10:M10"/>
    <mergeCell ref="N10:O10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PLOMERIA</vt:lpstr>
      <vt:lpstr>ACOPIO</vt:lpstr>
      <vt:lpstr>MADERA</vt:lpstr>
      <vt:lpstr>CELULOSA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2026-06-02T13:36:10Z</cp:lastPrinted>
  <dcterms:created xsi:type="dcterms:W3CDTF">2015-06-05T18:19:34Z</dcterms:created>
  <dcterms:modified xsi:type="dcterms:W3CDTF">2026-06-02T13:38:03Z</dcterms:modified>
</cp:coreProperties>
</file>