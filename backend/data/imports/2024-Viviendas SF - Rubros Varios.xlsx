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-6qOBduWDbqC39LeqndYpBmTjZuyJhmJ\SILICIO\02-Obras\20-San Francisco\2023\02-Obras En Ejecucion\01-30 Viviendas\09-Gastos\"/>
    </mc:Choice>
  </mc:AlternateContent>
  <xr:revisionPtr revIDLastSave="0" documentId="13_ncr:1_{E7071CBE-D877-41E8-BEE9-095DBBBB4DFE}" xr6:coauthVersionLast="47" xr6:coauthVersionMax="47" xr10:uidLastSave="{00000000-0000-0000-0000-000000000000}"/>
  <bookViews>
    <workbookView minimized="1" xWindow="3768" yWindow="720" windowWidth="14244" windowHeight="12240" firstSheet="11" activeTab="16" xr2:uid="{00000000-000D-0000-FFFF-FFFF00000000}"/>
  </bookViews>
  <sheets>
    <sheet name="CAÑO 110" sheetId="1" r:id="rId1"/>
    <sheet name="Cuplas" sheetId="2" r:id="rId2"/>
    <sheet name="Albañilería" sheetId="3" r:id="rId3"/>
    <sheet name="Plavicon" sheetId="4" r:id="rId4"/>
    <sheet name="GAS" sheetId="6" r:id="rId5"/>
    <sheet name="TERMOTANQUE SOLAR" sheetId="7" r:id="rId6"/>
    <sheet name="CORRALON" sheetId="8" r:id="rId7"/>
    <sheet name="FERRETERIA" sheetId="10" r:id="rId8"/>
    <sheet name="CORRALON CASA 2" sheetId="12" r:id="rId9"/>
    <sheet name="CORRALON CASA 3" sheetId="13" r:id="rId10"/>
    <sheet name="BASE" sheetId="5" r:id="rId11"/>
    <sheet name="GAS IVAN (10 VIV)" sheetId="15" r:id="rId12"/>
    <sheet name="CORRALON 4" sheetId="14" r:id="rId13"/>
    <sheet name="CORRALON 6" sheetId="18" r:id="rId14"/>
    <sheet name="CORRALON 5" sheetId="16" r:id="rId15"/>
    <sheet name="AGUA Y CLOACA 16-05" sheetId="17" r:id="rId16"/>
    <sheet name="Pozos" sheetId="19" r:id="rId17"/>
    <sheet name="Electricidad 4" sheetId="20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91lavWfjaz+sm2aUicLXPL5una9A8bhTI1dTlTl30yk="/>
    </ext>
  </extLst>
</workbook>
</file>

<file path=xl/calcChain.xml><?xml version="1.0" encoding="utf-8"?>
<calcChain xmlns="http://schemas.openxmlformats.org/spreadsheetml/2006/main">
  <c r="D13" i="19" l="1"/>
  <c r="N13" i="19" s="1"/>
  <c r="O13" i="19" s="1"/>
  <c r="D12" i="19"/>
  <c r="N12" i="20"/>
  <c r="O12" i="20" s="1"/>
  <c r="I27" i="20"/>
  <c r="H12" i="20"/>
  <c r="N18" i="20"/>
  <c r="O18" i="20" s="1"/>
  <c r="M18" i="20"/>
  <c r="K18" i="20"/>
  <c r="I18" i="20"/>
  <c r="G18" i="20"/>
  <c r="E18" i="20"/>
  <c r="N17" i="20"/>
  <c r="O17" i="20" s="1"/>
  <c r="M17" i="20"/>
  <c r="K17" i="20"/>
  <c r="I17" i="20"/>
  <c r="G17" i="20"/>
  <c r="E17" i="20"/>
  <c r="N16" i="20"/>
  <c r="O16" i="20" s="1"/>
  <c r="M16" i="20"/>
  <c r="K16" i="20"/>
  <c r="I16" i="20"/>
  <c r="G16" i="20"/>
  <c r="E16" i="20"/>
  <c r="N15" i="20"/>
  <c r="O15" i="20" s="1"/>
  <c r="M15" i="20"/>
  <c r="K15" i="20"/>
  <c r="I15" i="20"/>
  <c r="G15" i="20"/>
  <c r="E15" i="20"/>
  <c r="N14" i="20"/>
  <c r="O14" i="20" s="1"/>
  <c r="M14" i="20"/>
  <c r="K14" i="20"/>
  <c r="I14" i="20"/>
  <c r="G14" i="20"/>
  <c r="E14" i="20"/>
  <c r="N13" i="20"/>
  <c r="O13" i="20" s="1"/>
  <c r="M13" i="20"/>
  <c r="K13" i="20"/>
  <c r="I13" i="20"/>
  <c r="G13" i="20"/>
  <c r="E13" i="20"/>
  <c r="M12" i="20"/>
  <c r="K12" i="20"/>
  <c r="I12" i="20"/>
  <c r="G12" i="20"/>
  <c r="E12" i="20"/>
  <c r="F13" i="19"/>
  <c r="F12" i="19"/>
  <c r="G12" i="19" s="1"/>
  <c r="H13" i="19"/>
  <c r="I13" i="19" s="1"/>
  <c r="H12" i="19"/>
  <c r="N14" i="19"/>
  <c r="O14" i="19" s="1"/>
  <c r="M14" i="19"/>
  <c r="K14" i="19"/>
  <c r="I14" i="19"/>
  <c r="G14" i="19"/>
  <c r="E14" i="19"/>
  <c r="M13" i="19"/>
  <c r="K13" i="19"/>
  <c r="G13" i="19"/>
  <c r="N12" i="19"/>
  <c r="O12" i="19" s="1"/>
  <c r="M12" i="19"/>
  <c r="K12" i="19"/>
  <c r="I12" i="19"/>
  <c r="E12" i="19"/>
  <c r="N12" i="18"/>
  <c r="J17" i="18"/>
  <c r="H14" i="18"/>
  <c r="H15" i="18"/>
  <c r="H23" i="18"/>
  <c r="H22" i="18"/>
  <c r="H21" i="18"/>
  <c r="H20" i="18"/>
  <c r="H17" i="18"/>
  <c r="H16" i="18"/>
  <c r="H13" i="18"/>
  <c r="H12" i="18"/>
  <c r="G33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E13" i="19" l="1"/>
  <c r="M21" i="20"/>
  <c r="M23" i="20" s="1"/>
  <c r="M25" i="20" s="1"/>
  <c r="G21" i="20"/>
  <c r="G23" i="20" s="1"/>
  <c r="I21" i="20"/>
  <c r="I23" i="20" s="1"/>
  <c r="I25" i="20" s="1"/>
  <c r="K21" i="20"/>
  <c r="K23" i="20" s="1"/>
  <c r="K25" i="20" s="1"/>
  <c r="E21" i="20"/>
  <c r="E23" i="20" s="1"/>
  <c r="E25" i="20" s="1"/>
  <c r="O21" i="20"/>
  <c r="E17" i="19"/>
  <c r="E19" i="19" s="1"/>
  <c r="E21" i="19" s="1"/>
  <c r="G17" i="19"/>
  <c r="G19" i="19" s="1"/>
  <c r="G21" i="19" s="1"/>
  <c r="I17" i="19"/>
  <c r="I19" i="19" s="1"/>
  <c r="I21" i="19" s="1"/>
  <c r="K17" i="19"/>
  <c r="K19" i="19" s="1"/>
  <c r="K21" i="19" s="1"/>
  <c r="M17" i="19"/>
  <c r="O17" i="19"/>
  <c r="E19" i="18"/>
  <c r="E20" i="18"/>
  <c r="E21" i="18"/>
  <c r="E22" i="18"/>
  <c r="E23" i="18"/>
  <c r="E13" i="18"/>
  <c r="E12" i="18"/>
  <c r="D23" i="18"/>
  <c r="D22" i="18"/>
  <c r="D20" i="18"/>
  <c r="D19" i="18"/>
  <c r="N19" i="18" s="1"/>
  <c r="O19" i="18" s="1"/>
  <c r="D18" i="18"/>
  <c r="E18" i="18" s="1"/>
  <c r="D17" i="18"/>
  <c r="E17" i="18" s="1"/>
  <c r="D16" i="18"/>
  <c r="E16" i="18" s="1"/>
  <c r="D15" i="18"/>
  <c r="E15" i="18" s="1"/>
  <c r="D14" i="18"/>
  <c r="E14" i="18" s="1"/>
  <c r="D13" i="18"/>
  <c r="N13" i="18" s="1"/>
  <c r="O13" i="18" s="1"/>
  <c r="D12" i="18"/>
  <c r="O12" i="18" s="1"/>
  <c r="I23" i="18"/>
  <c r="I26" i="18" s="1"/>
  <c r="N23" i="18"/>
  <c r="O23" i="18" s="1"/>
  <c r="M23" i="18"/>
  <c r="K23" i="18"/>
  <c r="G23" i="18"/>
  <c r="N22" i="18"/>
  <c r="O22" i="18" s="1"/>
  <c r="M22" i="18"/>
  <c r="K22" i="18"/>
  <c r="I22" i="18"/>
  <c r="G22" i="18"/>
  <c r="N21" i="18"/>
  <c r="O21" i="18" s="1"/>
  <c r="M21" i="18"/>
  <c r="K21" i="18"/>
  <c r="I21" i="18"/>
  <c r="G21" i="18"/>
  <c r="N20" i="18"/>
  <c r="O20" i="18" s="1"/>
  <c r="M20" i="18"/>
  <c r="K20" i="18"/>
  <c r="I20" i="18"/>
  <c r="G20" i="18"/>
  <c r="M19" i="18"/>
  <c r="K19" i="18"/>
  <c r="I19" i="18"/>
  <c r="G19" i="18"/>
  <c r="N18" i="18"/>
  <c r="O18" i="18" s="1"/>
  <c r="M18" i="18"/>
  <c r="K18" i="18"/>
  <c r="I18" i="18"/>
  <c r="G18" i="18"/>
  <c r="M17" i="18"/>
  <c r="K17" i="18"/>
  <c r="I17" i="18"/>
  <c r="G17" i="18"/>
  <c r="N16" i="18"/>
  <c r="O16" i="18" s="1"/>
  <c r="M16" i="18"/>
  <c r="K16" i="18"/>
  <c r="I16" i="18"/>
  <c r="G16" i="18"/>
  <c r="M15" i="18"/>
  <c r="K15" i="18"/>
  <c r="I15" i="18"/>
  <c r="G15" i="18"/>
  <c r="M14" i="18"/>
  <c r="K14" i="18"/>
  <c r="I14" i="18"/>
  <c r="G14" i="18"/>
  <c r="M13" i="18"/>
  <c r="K13" i="18"/>
  <c r="I13" i="18"/>
  <c r="G13" i="18"/>
  <c r="M12" i="18"/>
  <c r="K12" i="18"/>
  <c r="I12" i="18"/>
  <c r="G12" i="18"/>
  <c r="N18" i="17"/>
  <c r="N13" i="17"/>
  <c r="N14" i="17"/>
  <c r="N15" i="17"/>
  <c r="O15" i="17" s="1"/>
  <c r="N16" i="17"/>
  <c r="O16" i="17" s="1"/>
  <c r="N17" i="17"/>
  <c r="N19" i="17"/>
  <c r="O19" i="17" s="1"/>
  <c r="N20" i="17"/>
  <c r="O20" i="17" s="1"/>
  <c r="N21" i="17"/>
  <c r="O21" i="17" s="1"/>
  <c r="N22" i="17"/>
  <c r="O22" i="17" s="1"/>
  <c r="N23" i="17"/>
  <c r="O23" i="17" s="1"/>
  <c r="N24" i="17"/>
  <c r="O24" i="17" s="1"/>
  <c r="N25" i="17"/>
  <c r="N26" i="17"/>
  <c r="N27" i="17"/>
  <c r="N28" i="17"/>
  <c r="N29" i="17"/>
  <c r="N30" i="17"/>
  <c r="N31" i="17"/>
  <c r="O31" i="17" s="1"/>
  <c r="N32" i="17"/>
  <c r="O32" i="17" s="1"/>
  <c r="N33" i="17"/>
  <c r="O33" i="17" s="1"/>
  <c r="N34" i="17"/>
  <c r="O34" i="17" s="1"/>
  <c r="N12" i="17"/>
  <c r="H34" i="17"/>
  <c r="H33" i="17"/>
  <c r="H32" i="17"/>
  <c r="H31" i="17"/>
  <c r="H30" i="17"/>
  <c r="H29" i="17"/>
  <c r="H28" i="17"/>
  <c r="I28" i="17" s="1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E21" i="17"/>
  <c r="G21" i="17"/>
  <c r="I21" i="17"/>
  <c r="K21" i="17"/>
  <c r="M21" i="17"/>
  <c r="E22" i="17"/>
  <c r="G22" i="17"/>
  <c r="I22" i="17"/>
  <c r="K22" i="17"/>
  <c r="M22" i="17"/>
  <c r="E23" i="17"/>
  <c r="G23" i="17"/>
  <c r="I23" i="17"/>
  <c r="K23" i="17"/>
  <c r="M23" i="17"/>
  <c r="E24" i="17"/>
  <c r="G24" i="17"/>
  <c r="I24" i="17"/>
  <c r="K24" i="17"/>
  <c r="M24" i="17"/>
  <c r="E25" i="17"/>
  <c r="G25" i="17"/>
  <c r="I25" i="17"/>
  <c r="K25" i="17"/>
  <c r="M25" i="17"/>
  <c r="O25" i="17"/>
  <c r="E26" i="17"/>
  <c r="G26" i="17"/>
  <c r="I26" i="17"/>
  <c r="K26" i="17"/>
  <c r="M26" i="17"/>
  <c r="O26" i="17"/>
  <c r="E27" i="17"/>
  <c r="G27" i="17"/>
  <c r="I27" i="17"/>
  <c r="K27" i="17"/>
  <c r="M27" i="17"/>
  <c r="O27" i="17"/>
  <c r="E28" i="17"/>
  <c r="G28" i="17"/>
  <c r="K28" i="17"/>
  <c r="M28" i="17"/>
  <c r="O28" i="17"/>
  <c r="E29" i="17"/>
  <c r="G29" i="17"/>
  <c r="I29" i="17"/>
  <c r="K29" i="17"/>
  <c r="M29" i="17"/>
  <c r="O29" i="17"/>
  <c r="I12" i="17"/>
  <c r="I13" i="17"/>
  <c r="I14" i="17"/>
  <c r="I15" i="17"/>
  <c r="I16" i="17"/>
  <c r="I17" i="17"/>
  <c r="I18" i="17"/>
  <c r="I19" i="17"/>
  <c r="E13" i="17"/>
  <c r="G13" i="17"/>
  <c r="K13" i="17"/>
  <c r="M13" i="17"/>
  <c r="O13" i="17"/>
  <c r="E14" i="17"/>
  <c r="G14" i="17"/>
  <c r="K14" i="17"/>
  <c r="M14" i="17"/>
  <c r="O14" i="17"/>
  <c r="E15" i="17"/>
  <c r="G15" i="17"/>
  <c r="K15" i="17"/>
  <c r="M15" i="17"/>
  <c r="E16" i="17"/>
  <c r="G16" i="17"/>
  <c r="K16" i="17"/>
  <c r="M16" i="17"/>
  <c r="E17" i="17"/>
  <c r="G17" i="17"/>
  <c r="K17" i="17"/>
  <c r="M17" i="17"/>
  <c r="O17" i="17"/>
  <c r="E18" i="17"/>
  <c r="G18" i="17"/>
  <c r="K18" i="17"/>
  <c r="M18" i="17"/>
  <c r="O18" i="17"/>
  <c r="E19" i="17"/>
  <c r="G19" i="17"/>
  <c r="K19" i="17"/>
  <c r="M19" i="17"/>
  <c r="E20" i="17"/>
  <c r="G20" i="17"/>
  <c r="I20" i="17"/>
  <c r="K20" i="17"/>
  <c r="M20" i="17"/>
  <c r="O30" i="17"/>
  <c r="K30" i="17"/>
  <c r="K31" i="17"/>
  <c r="K32" i="17"/>
  <c r="K33" i="17"/>
  <c r="K34" i="17"/>
  <c r="G30" i="17"/>
  <c r="G31" i="17"/>
  <c r="G32" i="17"/>
  <c r="G33" i="17"/>
  <c r="G34" i="17"/>
  <c r="E32" i="17"/>
  <c r="E33" i="17"/>
  <c r="E34" i="17"/>
  <c r="M34" i="17"/>
  <c r="I34" i="17"/>
  <c r="M33" i="17"/>
  <c r="I33" i="17"/>
  <c r="I32" i="17"/>
  <c r="M31" i="17"/>
  <c r="I31" i="17"/>
  <c r="E31" i="17"/>
  <c r="M30" i="17"/>
  <c r="I30" i="17"/>
  <c r="E30" i="17"/>
  <c r="O12" i="17"/>
  <c r="M12" i="17"/>
  <c r="K12" i="17"/>
  <c r="G12" i="17"/>
  <c r="E12" i="17"/>
  <c r="E12" i="16"/>
  <c r="G25" i="20" l="1"/>
  <c r="G26" i="20" s="1"/>
  <c r="G30" i="20" s="1"/>
  <c r="E26" i="20"/>
  <c r="E30" i="20" s="1"/>
  <c r="M26" i="20"/>
  <c r="M30" i="20" s="1"/>
  <c r="K26" i="20"/>
  <c r="K30" i="20" s="1"/>
  <c r="I30" i="20"/>
  <c r="O23" i="20"/>
  <c r="O25" i="20" s="1"/>
  <c r="M19" i="19"/>
  <c r="M21" i="19" s="1"/>
  <c r="K22" i="19"/>
  <c r="K26" i="19" s="1"/>
  <c r="G22" i="19"/>
  <c r="G26" i="19" s="1"/>
  <c r="I22" i="19"/>
  <c r="I26" i="19" s="1"/>
  <c r="O19" i="19"/>
  <c r="O21" i="19" s="1"/>
  <c r="E22" i="19"/>
  <c r="E26" i="19" s="1"/>
  <c r="N14" i="18"/>
  <c r="O14" i="18" s="1"/>
  <c r="N17" i="18"/>
  <c r="O17" i="18" s="1"/>
  <c r="N15" i="18"/>
  <c r="O15" i="18" s="1"/>
  <c r="E26" i="18"/>
  <c r="E28" i="18" s="1"/>
  <c r="E30" i="18" s="1"/>
  <c r="E31" i="18" s="1"/>
  <c r="K26" i="18"/>
  <c r="K28" i="18" s="1"/>
  <c r="K30" i="18" s="1"/>
  <c r="K31" i="18" s="1"/>
  <c r="K35" i="18" s="1"/>
  <c r="I28" i="18"/>
  <c r="I30" i="18" s="1"/>
  <c r="I31" i="18" s="1"/>
  <c r="G26" i="18"/>
  <c r="G28" i="18" s="1"/>
  <c r="G30" i="18" s="1"/>
  <c r="G31" i="18" s="1"/>
  <c r="G35" i="18" s="1"/>
  <c r="M26" i="18"/>
  <c r="M28" i="18" s="1"/>
  <c r="M30" i="18" s="1"/>
  <c r="I36" i="17"/>
  <c r="I38" i="17" s="1"/>
  <c r="K36" i="17"/>
  <c r="K38" i="17" s="1"/>
  <c r="M36" i="17"/>
  <c r="M38" i="17" s="1"/>
  <c r="G36" i="17"/>
  <c r="G38" i="17" s="1"/>
  <c r="E36" i="17"/>
  <c r="E38" i="17" s="1"/>
  <c r="O36" i="17"/>
  <c r="O38" i="17" s="1"/>
  <c r="F13" i="16"/>
  <c r="D13" i="16"/>
  <c r="H13" i="16"/>
  <c r="H12" i="16"/>
  <c r="O26" i="20" l="1"/>
  <c r="O30" i="20" s="1"/>
  <c r="M22" i="19"/>
  <c r="M26" i="19"/>
  <c r="O22" i="19"/>
  <c r="O26" i="19" s="1"/>
  <c r="O26" i="18"/>
  <c r="O28" i="18" s="1"/>
  <c r="O30" i="18" s="1"/>
  <c r="O31" i="18" s="1"/>
  <c r="O35" i="18" s="1"/>
  <c r="I35" i="18"/>
  <c r="M31" i="18"/>
  <c r="M35" i="18" s="1"/>
  <c r="E35" i="18"/>
  <c r="K40" i="17"/>
  <c r="K41" i="17" s="1"/>
  <c r="K45" i="17" s="1"/>
  <c r="M40" i="17"/>
  <c r="M41" i="17" s="1"/>
  <c r="M45" i="17" s="1"/>
  <c r="E40" i="17"/>
  <c r="O40" i="17"/>
  <c r="I40" i="17"/>
  <c r="G40" i="17"/>
  <c r="I15" i="16"/>
  <c r="H18" i="16"/>
  <c r="H17" i="16"/>
  <c r="H16" i="16"/>
  <c r="H15" i="16"/>
  <c r="O41" i="17" l="1"/>
  <c r="O45" i="17" s="1"/>
  <c r="G41" i="17"/>
  <c r="G45" i="17" s="1"/>
  <c r="E41" i="17"/>
  <c r="E45" i="17" s="1"/>
  <c r="I41" i="17"/>
  <c r="I45" i="17" s="1"/>
  <c r="F16" i="16"/>
  <c r="D16" i="16"/>
  <c r="E16" i="16" s="1"/>
  <c r="G12" i="16"/>
  <c r="F18" i="16"/>
  <c r="F17" i="16"/>
  <c r="D18" i="16"/>
  <c r="E18" i="16" s="1"/>
  <c r="D17" i="16"/>
  <c r="E17" i="16" s="1"/>
  <c r="E24" i="16" s="1"/>
  <c r="G13" i="16"/>
  <c r="F12" i="16"/>
  <c r="F15" i="16"/>
  <c r="D14" i="16"/>
  <c r="E14" i="16" s="1"/>
  <c r="N13" i="16"/>
  <c r="O13" i="16" s="1"/>
  <c r="D12" i="16"/>
  <c r="C15" i="16"/>
  <c r="G15" i="16" s="1"/>
  <c r="N21" i="16"/>
  <c r="O21" i="16" s="1"/>
  <c r="M21" i="16"/>
  <c r="K21" i="16"/>
  <c r="I21" i="16"/>
  <c r="G21" i="16"/>
  <c r="E21" i="16"/>
  <c r="N20" i="16"/>
  <c r="O20" i="16" s="1"/>
  <c r="M20" i="16"/>
  <c r="K20" i="16"/>
  <c r="I20" i="16"/>
  <c r="G20" i="16"/>
  <c r="E20" i="16"/>
  <c r="N19" i="16"/>
  <c r="O19" i="16" s="1"/>
  <c r="M19" i="16"/>
  <c r="K19" i="16"/>
  <c r="I19" i="16"/>
  <c r="G19" i="16"/>
  <c r="E19" i="16"/>
  <c r="M18" i="16"/>
  <c r="K18" i="16"/>
  <c r="I18" i="16"/>
  <c r="G18" i="16"/>
  <c r="N17" i="16"/>
  <c r="O17" i="16" s="1"/>
  <c r="M17" i="16"/>
  <c r="K17" i="16"/>
  <c r="I17" i="16"/>
  <c r="G17" i="16"/>
  <c r="G24" i="16" s="1"/>
  <c r="M16" i="16"/>
  <c r="K16" i="16"/>
  <c r="I16" i="16"/>
  <c r="G16" i="16"/>
  <c r="N14" i="16"/>
  <c r="O14" i="16" s="1"/>
  <c r="M14" i="16"/>
  <c r="K14" i="16"/>
  <c r="I14" i="16"/>
  <c r="G14" i="16"/>
  <c r="M13" i="16"/>
  <c r="K13" i="16"/>
  <c r="I13" i="16"/>
  <c r="M12" i="16"/>
  <c r="K12" i="16"/>
  <c r="I12" i="16"/>
  <c r="H15" i="15"/>
  <c r="I15" i="15" s="1"/>
  <c r="H13" i="15"/>
  <c r="I13" i="15" s="1"/>
  <c r="F24" i="15"/>
  <c r="F23" i="15"/>
  <c r="F22" i="15"/>
  <c r="F21" i="15"/>
  <c r="F20" i="15"/>
  <c r="F19" i="15"/>
  <c r="G19" i="15" s="1"/>
  <c r="F18" i="15"/>
  <c r="F16" i="15"/>
  <c r="F15" i="15"/>
  <c r="F13" i="15"/>
  <c r="N24" i="15"/>
  <c r="O24" i="15" s="1"/>
  <c r="N23" i="15"/>
  <c r="O23" i="15" s="1"/>
  <c r="G21" i="15"/>
  <c r="G18" i="15"/>
  <c r="G16" i="15"/>
  <c r="D15" i="15"/>
  <c r="D13" i="15"/>
  <c r="I24" i="15"/>
  <c r="I23" i="15"/>
  <c r="N27" i="15"/>
  <c r="E27" i="15"/>
  <c r="N26" i="15"/>
  <c r="E26" i="15"/>
  <c r="N25" i="15"/>
  <c r="K25" i="15"/>
  <c r="E25" i="15"/>
  <c r="M24" i="15"/>
  <c r="K24" i="15"/>
  <c r="E24" i="15"/>
  <c r="M23" i="15"/>
  <c r="K23" i="15"/>
  <c r="E23" i="15"/>
  <c r="N22" i="15"/>
  <c r="O22" i="15" s="1"/>
  <c r="M22" i="15"/>
  <c r="K22" i="15"/>
  <c r="I22" i="15"/>
  <c r="G22" i="15"/>
  <c r="E22" i="15"/>
  <c r="N21" i="15"/>
  <c r="O21" i="15" s="1"/>
  <c r="M21" i="15"/>
  <c r="K21" i="15"/>
  <c r="I21" i="15"/>
  <c r="E21" i="15"/>
  <c r="N20" i="15"/>
  <c r="O20" i="15" s="1"/>
  <c r="M20" i="15"/>
  <c r="K20" i="15"/>
  <c r="I20" i="15"/>
  <c r="G20" i="15"/>
  <c r="E20" i="15"/>
  <c r="N19" i="15"/>
  <c r="O19" i="15" s="1"/>
  <c r="M19" i="15"/>
  <c r="K19" i="15"/>
  <c r="I19" i="15"/>
  <c r="E19" i="15"/>
  <c r="N18" i="15"/>
  <c r="O18" i="15" s="1"/>
  <c r="M18" i="15"/>
  <c r="K18" i="15"/>
  <c r="I18" i="15"/>
  <c r="E18" i="15"/>
  <c r="N17" i="15"/>
  <c r="O17" i="15" s="1"/>
  <c r="M17" i="15"/>
  <c r="K17" i="15"/>
  <c r="I17" i="15"/>
  <c r="G17" i="15"/>
  <c r="E17" i="15"/>
  <c r="N16" i="15"/>
  <c r="O16" i="15" s="1"/>
  <c r="M16" i="15"/>
  <c r="K16" i="15"/>
  <c r="I16" i="15"/>
  <c r="E16" i="15"/>
  <c r="N15" i="15"/>
  <c r="O15" i="15" s="1"/>
  <c r="M15" i="15"/>
  <c r="K15" i="15"/>
  <c r="G15" i="15"/>
  <c r="E15" i="15"/>
  <c r="N14" i="15"/>
  <c r="O14" i="15" s="1"/>
  <c r="M14" i="15"/>
  <c r="K14" i="15"/>
  <c r="I14" i="15"/>
  <c r="G14" i="15"/>
  <c r="E14" i="15"/>
  <c r="N13" i="15"/>
  <c r="O13" i="15" s="1"/>
  <c r="M13" i="15"/>
  <c r="K13" i="15"/>
  <c r="G13" i="15"/>
  <c r="E13" i="15"/>
  <c r="N12" i="15"/>
  <c r="O12" i="15" s="1"/>
  <c r="M12" i="15"/>
  <c r="K12" i="15"/>
  <c r="I12" i="15"/>
  <c r="G12" i="15"/>
  <c r="E12" i="15"/>
  <c r="D17" i="14"/>
  <c r="D16" i="14"/>
  <c r="D15" i="14"/>
  <c r="D13" i="14"/>
  <c r="D12" i="14"/>
  <c r="L19" i="14"/>
  <c r="J19" i="14"/>
  <c r="J17" i="14"/>
  <c r="J16" i="14"/>
  <c r="J15" i="14"/>
  <c r="J14" i="14"/>
  <c r="J13" i="14"/>
  <c r="J12" i="14"/>
  <c r="I24" i="16" l="1"/>
  <c r="I26" i="16" s="1"/>
  <c r="I28" i="16" s="1"/>
  <c r="N16" i="16"/>
  <c r="O16" i="16" s="1"/>
  <c r="E13" i="16"/>
  <c r="E26" i="16" s="1"/>
  <c r="E28" i="16" s="1"/>
  <c r="G26" i="16"/>
  <c r="G28" i="16" s="1"/>
  <c r="N18" i="16"/>
  <c r="O18" i="16" s="1"/>
  <c r="N12" i="16"/>
  <c r="O12" i="16" s="1"/>
  <c r="M24" i="16"/>
  <c r="M26" i="16" s="1"/>
  <c r="M28" i="16" s="1"/>
  <c r="K24" i="16"/>
  <c r="K26" i="16" s="1"/>
  <c r="K28" i="16" s="1"/>
  <c r="G24" i="15"/>
  <c r="G30" i="15" s="1"/>
  <c r="G32" i="15" s="1"/>
  <c r="G34" i="15" s="1"/>
  <c r="G23" i="15"/>
  <c r="M30" i="15"/>
  <c r="M32" i="15" s="1"/>
  <c r="M34" i="15" s="1"/>
  <c r="E30" i="15"/>
  <c r="E32" i="15" s="1"/>
  <c r="E34" i="15" s="1"/>
  <c r="I30" i="15"/>
  <c r="I32" i="15" s="1"/>
  <c r="I34" i="15" s="1"/>
  <c r="K30" i="15"/>
  <c r="K32" i="15" s="1"/>
  <c r="K34" i="15" s="1"/>
  <c r="O30" i="15"/>
  <c r="F12" i="14"/>
  <c r="E16" i="14"/>
  <c r="N15" i="14"/>
  <c r="O15" i="14" s="1"/>
  <c r="D14" i="14"/>
  <c r="E12" i="14"/>
  <c r="N27" i="14"/>
  <c r="E27" i="14"/>
  <c r="N26" i="14"/>
  <c r="E26" i="14"/>
  <c r="N25" i="14"/>
  <c r="K25" i="14"/>
  <c r="E25" i="14"/>
  <c r="N24" i="14"/>
  <c r="M24" i="14"/>
  <c r="K24" i="14"/>
  <c r="G24" i="14"/>
  <c r="E24" i="14"/>
  <c r="N23" i="14"/>
  <c r="M23" i="14"/>
  <c r="K23" i="14"/>
  <c r="G23" i="14"/>
  <c r="E23" i="14"/>
  <c r="N22" i="14"/>
  <c r="O22" i="14" s="1"/>
  <c r="M22" i="14"/>
  <c r="K22" i="14"/>
  <c r="I22" i="14"/>
  <c r="G22" i="14"/>
  <c r="E22" i="14"/>
  <c r="N21" i="14"/>
  <c r="O21" i="14" s="1"/>
  <c r="M21" i="14"/>
  <c r="K21" i="14"/>
  <c r="I21" i="14"/>
  <c r="G21" i="14"/>
  <c r="E21" i="14"/>
  <c r="N20" i="14"/>
  <c r="O20" i="14" s="1"/>
  <c r="M20" i="14"/>
  <c r="K20" i="14"/>
  <c r="I20" i="14"/>
  <c r="G20" i="14"/>
  <c r="E20" i="14"/>
  <c r="O19" i="14"/>
  <c r="M19" i="14"/>
  <c r="K19" i="14"/>
  <c r="I19" i="14"/>
  <c r="G19" i="14"/>
  <c r="E19" i="14"/>
  <c r="O18" i="14"/>
  <c r="M18" i="14"/>
  <c r="K18" i="14"/>
  <c r="I18" i="14"/>
  <c r="G18" i="14"/>
  <c r="E18" i="14"/>
  <c r="N17" i="14"/>
  <c r="O17" i="14" s="1"/>
  <c r="M17" i="14"/>
  <c r="K17" i="14"/>
  <c r="I17" i="14"/>
  <c r="G17" i="14"/>
  <c r="E17" i="14"/>
  <c r="N16" i="14"/>
  <c r="O16" i="14" s="1"/>
  <c r="M16" i="14"/>
  <c r="K16" i="14"/>
  <c r="I16" i="14"/>
  <c r="G16" i="14"/>
  <c r="M15" i="14"/>
  <c r="K15" i="14"/>
  <c r="I15" i="14"/>
  <c r="G15" i="14"/>
  <c r="N14" i="14"/>
  <c r="O14" i="14" s="1"/>
  <c r="M14" i="14"/>
  <c r="K14" i="14"/>
  <c r="I14" i="14"/>
  <c r="G14" i="14"/>
  <c r="E14" i="14"/>
  <c r="N13" i="14"/>
  <c r="O13" i="14" s="1"/>
  <c r="M13" i="14"/>
  <c r="K13" i="14"/>
  <c r="I13" i="14"/>
  <c r="G13" i="14"/>
  <c r="E13" i="14"/>
  <c r="N12" i="14"/>
  <c r="O12" i="14" s="1"/>
  <c r="M12" i="14"/>
  <c r="K12" i="14"/>
  <c r="I12" i="14"/>
  <c r="G12" i="14"/>
  <c r="I29" i="16" l="1"/>
  <c r="I33" i="16" s="1"/>
  <c r="O24" i="16"/>
  <c r="O26" i="16" s="1"/>
  <c r="O28" i="16" s="1"/>
  <c r="G29" i="16"/>
  <c r="G33" i="16" s="1"/>
  <c r="E29" i="16"/>
  <c r="E33" i="16" s="1"/>
  <c r="K29" i="16"/>
  <c r="K33" i="16" s="1"/>
  <c r="M29" i="16"/>
  <c r="M33" i="16" s="1"/>
  <c r="K35" i="15"/>
  <c r="K39" i="15" s="1"/>
  <c r="E35" i="15"/>
  <c r="E39" i="15" s="1"/>
  <c r="I35" i="15"/>
  <c r="I39" i="15" s="1"/>
  <c r="G35" i="15"/>
  <c r="G39" i="15" s="1"/>
  <c r="O32" i="15"/>
  <c r="O34" i="15" s="1"/>
  <c r="M35" i="15"/>
  <c r="M39" i="15" s="1"/>
  <c r="G30" i="14"/>
  <c r="G32" i="14" s="1"/>
  <c r="G34" i="14" s="1"/>
  <c r="I30" i="14"/>
  <c r="I32" i="14" s="1"/>
  <c r="I34" i="14" s="1"/>
  <c r="E15" i="14"/>
  <c r="E30" i="14" s="1"/>
  <c r="E32" i="14" s="1"/>
  <c r="E34" i="14" s="1"/>
  <c r="O30" i="14"/>
  <c r="O32" i="14" s="1"/>
  <c r="O34" i="14" s="1"/>
  <c r="K30" i="14"/>
  <c r="K32" i="14" s="1"/>
  <c r="K34" i="14" s="1"/>
  <c r="M30" i="14"/>
  <c r="M32" i="14" s="1"/>
  <c r="M34" i="14" s="1"/>
  <c r="J41" i="13"/>
  <c r="J42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O29" i="16" l="1"/>
  <c r="O33" i="16" s="1"/>
  <c r="O35" i="15"/>
  <c r="O39" i="15" s="1"/>
  <c r="K35" i="14"/>
  <c r="K39" i="14" s="1"/>
  <c r="I35" i="14"/>
  <c r="I39" i="14" s="1"/>
  <c r="M35" i="14"/>
  <c r="M39" i="14" s="1"/>
  <c r="E35" i="14"/>
  <c r="E39" i="14" s="1"/>
  <c r="G35" i="14"/>
  <c r="G39" i="14" s="1"/>
  <c r="O35" i="14"/>
  <c r="O39" i="14" s="1"/>
  <c r="N22" i="13"/>
  <c r="O22" i="13" s="1"/>
  <c r="N23" i="13"/>
  <c r="O23" i="13" s="1"/>
  <c r="N24" i="13"/>
  <c r="O24" i="13" s="1"/>
  <c r="N25" i="13"/>
  <c r="O25" i="13" s="1"/>
  <c r="N26" i="13"/>
  <c r="O26" i="13" s="1"/>
  <c r="N27" i="13"/>
  <c r="O27" i="13" s="1"/>
  <c r="N28" i="13"/>
  <c r="O28" i="13" s="1"/>
  <c r="N29" i="13"/>
  <c r="O29" i="13" s="1"/>
  <c r="N30" i="13"/>
  <c r="O30" i="13" s="1"/>
  <c r="N31" i="13"/>
  <c r="O31" i="13" s="1"/>
  <c r="N32" i="13"/>
  <c r="O32" i="13" s="1"/>
  <c r="N33" i="13"/>
  <c r="O33" i="13" s="1"/>
  <c r="N34" i="13"/>
  <c r="O34" i="13" s="1"/>
  <c r="N35" i="13"/>
  <c r="O35" i="13" s="1"/>
  <c r="N36" i="13"/>
  <c r="O36" i="13" s="1"/>
  <c r="N37" i="13"/>
  <c r="O37" i="13" s="1"/>
  <c r="N38" i="13"/>
  <c r="O38" i="13" s="1"/>
  <c r="N39" i="13"/>
  <c r="O39" i="13" s="1"/>
  <c r="N40" i="13"/>
  <c r="O40" i="13" s="1"/>
  <c r="N41" i="13"/>
  <c r="O41" i="13" s="1"/>
  <c r="N42" i="13"/>
  <c r="O42" i="13" s="1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N12" i="13"/>
  <c r="O12" i="13" s="1"/>
  <c r="M12" i="13"/>
  <c r="K12" i="13"/>
  <c r="I12" i="13"/>
  <c r="G12" i="13"/>
  <c r="E12" i="13"/>
  <c r="E44" i="13" s="1"/>
  <c r="N21" i="13"/>
  <c r="O21" i="13" s="1"/>
  <c r="M21" i="13"/>
  <c r="K21" i="13"/>
  <c r="I21" i="13"/>
  <c r="G21" i="13"/>
  <c r="E21" i="13"/>
  <c r="N20" i="13"/>
  <c r="O20" i="13" s="1"/>
  <c r="M20" i="13"/>
  <c r="K20" i="13"/>
  <c r="I20" i="13"/>
  <c r="G20" i="13"/>
  <c r="E20" i="13"/>
  <c r="N19" i="13"/>
  <c r="O19" i="13" s="1"/>
  <c r="M19" i="13"/>
  <c r="K19" i="13"/>
  <c r="I19" i="13"/>
  <c r="G19" i="13"/>
  <c r="E19" i="13"/>
  <c r="N18" i="13"/>
  <c r="O18" i="13" s="1"/>
  <c r="M18" i="13"/>
  <c r="K18" i="13"/>
  <c r="I18" i="13"/>
  <c r="G18" i="13"/>
  <c r="E18" i="13"/>
  <c r="N17" i="13"/>
  <c r="O17" i="13" s="1"/>
  <c r="M17" i="13"/>
  <c r="K17" i="13"/>
  <c r="I17" i="13"/>
  <c r="G17" i="13"/>
  <c r="E17" i="13"/>
  <c r="N16" i="13"/>
  <c r="O16" i="13" s="1"/>
  <c r="M16" i="13"/>
  <c r="K16" i="13"/>
  <c r="I16" i="13"/>
  <c r="G16" i="13"/>
  <c r="E16" i="13"/>
  <c r="N15" i="13"/>
  <c r="O15" i="13" s="1"/>
  <c r="M15" i="13"/>
  <c r="K15" i="13"/>
  <c r="I15" i="13"/>
  <c r="G15" i="13"/>
  <c r="E15" i="13"/>
  <c r="N14" i="13"/>
  <c r="O14" i="13" s="1"/>
  <c r="M14" i="13"/>
  <c r="K14" i="13"/>
  <c r="I14" i="13"/>
  <c r="G14" i="13"/>
  <c r="E14" i="13"/>
  <c r="N13" i="13"/>
  <c r="O13" i="13" s="1"/>
  <c r="M13" i="13"/>
  <c r="K13" i="13"/>
  <c r="I13" i="13"/>
  <c r="G13" i="13"/>
  <c r="E13" i="13"/>
  <c r="G18" i="12"/>
  <c r="E12" i="12"/>
  <c r="E34" i="12" s="1"/>
  <c r="Q31" i="12"/>
  <c r="P25" i="12"/>
  <c r="Q25" i="12" s="1"/>
  <c r="P26" i="12"/>
  <c r="Q26" i="12" s="1"/>
  <c r="P27" i="12"/>
  <c r="Q27" i="12" s="1"/>
  <c r="P28" i="12"/>
  <c r="Q28" i="12" s="1"/>
  <c r="P29" i="12"/>
  <c r="Q29" i="12" s="1"/>
  <c r="P30" i="12"/>
  <c r="Q30" i="12" s="1"/>
  <c r="P31" i="12"/>
  <c r="O25" i="12"/>
  <c r="O26" i="12"/>
  <c r="O27" i="12"/>
  <c r="O28" i="12"/>
  <c r="O29" i="12"/>
  <c r="O30" i="12"/>
  <c r="O31" i="12"/>
  <c r="M25" i="12"/>
  <c r="M26" i="12"/>
  <c r="M27" i="12"/>
  <c r="M28" i="12"/>
  <c r="M29" i="12"/>
  <c r="M30" i="12"/>
  <c r="M31" i="12"/>
  <c r="K25" i="12"/>
  <c r="K26" i="12"/>
  <c r="K27" i="12"/>
  <c r="K28" i="12"/>
  <c r="K29" i="12"/>
  <c r="K30" i="12"/>
  <c r="K31" i="12"/>
  <c r="I25" i="12"/>
  <c r="I26" i="12"/>
  <c r="I27" i="12"/>
  <c r="I28" i="12"/>
  <c r="I29" i="12"/>
  <c r="I30" i="12"/>
  <c r="I31" i="12"/>
  <c r="G25" i="12"/>
  <c r="G26" i="12"/>
  <c r="G27" i="12"/>
  <c r="G28" i="12"/>
  <c r="G29" i="12"/>
  <c r="G30" i="12"/>
  <c r="G31" i="12"/>
  <c r="E25" i="12"/>
  <c r="E26" i="12"/>
  <c r="E27" i="12"/>
  <c r="E28" i="12"/>
  <c r="E29" i="12"/>
  <c r="E30" i="12"/>
  <c r="E31" i="12"/>
  <c r="P32" i="12"/>
  <c r="Q32" i="12" s="1"/>
  <c r="O32" i="12"/>
  <c r="M32" i="12"/>
  <c r="K32" i="12"/>
  <c r="I24" i="12"/>
  <c r="G32" i="12"/>
  <c r="E32" i="12"/>
  <c r="P12" i="12"/>
  <c r="Q12" i="12" s="1"/>
  <c r="P13" i="12"/>
  <c r="Q13" i="12" s="1"/>
  <c r="P14" i="12"/>
  <c r="Q14" i="12" s="1"/>
  <c r="P15" i="12"/>
  <c r="Q15" i="12" s="1"/>
  <c r="P16" i="12"/>
  <c r="Q16" i="12" s="1"/>
  <c r="P17" i="12"/>
  <c r="Q17" i="12" s="1"/>
  <c r="P18" i="12"/>
  <c r="Q18" i="12" s="1"/>
  <c r="O12" i="12"/>
  <c r="O13" i="12"/>
  <c r="O14" i="12"/>
  <c r="O15" i="12"/>
  <c r="O16" i="12"/>
  <c r="O17" i="12"/>
  <c r="O18" i="12"/>
  <c r="M12" i="12"/>
  <c r="M13" i="12"/>
  <c r="M14" i="12"/>
  <c r="M15" i="12"/>
  <c r="M16" i="12"/>
  <c r="M17" i="12"/>
  <c r="M18" i="12"/>
  <c r="K12" i="12"/>
  <c r="K13" i="12"/>
  <c r="K14" i="12"/>
  <c r="K15" i="12"/>
  <c r="K16" i="12"/>
  <c r="K17" i="12"/>
  <c r="K18" i="12"/>
  <c r="I12" i="12"/>
  <c r="I13" i="12"/>
  <c r="I14" i="12"/>
  <c r="I15" i="12"/>
  <c r="I16" i="12"/>
  <c r="I17" i="12"/>
  <c r="I18" i="12"/>
  <c r="G12" i="12"/>
  <c r="G13" i="12"/>
  <c r="G14" i="12"/>
  <c r="G15" i="12"/>
  <c r="G16" i="12"/>
  <c r="G17" i="12"/>
  <c r="E13" i="12"/>
  <c r="E14" i="12"/>
  <c r="E15" i="12"/>
  <c r="E16" i="12"/>
  <c r="E17" i="12"/>
  <c r="E18" i="12"/>
  <c r="P24" i="12"/>
  <c r="Q24" i="12" s="1"/>
  <c r="O24" i="12"/>
  <c r="M24" i="12"/>
  <c r="K24" i="12"/>
  <c r="I32" i="12"/>
  <c r="G24" i="12"/>
  <c r="E24" i="12"/>
  <c r="O23" i="12"/>
  <c r="M23" i="12"/>
  <c r="K23" i="12"/>
  <c r="I23" i="12"/>
  <c r="G23" i="12"/>
  <c r="E23" i="12"/>
  <c r="O22" i="12"/>
  <c r="P22" i="12"/>
  <c r="Q22" i="12" s="1"/>
  <c r="K22" i="12"/>
  <c r="I22" i="12"/>
  <c r="G22" i="12"/>
  <c r="E22" i="12"/>
  <c r="O21" i="12"/>
  <c r="M21" i="12"/>
  <c r="K21" i="12"/>
  <c r="I21" i="12"/>
  <c r="P21" i="12"/>
  <c r="Q21" i="12" s="1"/>
  <c r="E21" i="12"/>
  <c r="P20" i="12"/>
  <c r="Q20" i="12" s="1"/>
  <c r="O20" i="12"/>
  <c r="M20" i="12"/>
  <c r="K20" i="12"/>
  <c r="I20" i="12"/>
  <c r="G20" i="12"/>
  <c r="E20" i="12"/>
  <c r="O19" i="12"/>
  <c r="M19" i="12"/>
  <c r="K19" i="12"/>
  <c r="I19" i="12"/>
  <c r="G19" i="12"/>
  <c r="E19" i="12"/>
  <c r="E25" i="10"/>
  <c r="G25" i="10"/>
  <c r="P25" i="10"/>
  <c r="Q25" i="10" s="1"/>
  <c r="G19" i="10"/>
  <c r="G18" i="10"/>
  <c r="G20" i="10"/>
  <c r="G21" i="10"/>
  <c r="G22" i="10"/>
  <c r="G23" i="10"/>
  <c r="G24" i="10"/>
  <c r="G26" i="10"/>
  <c r="G27" i="10"/>
  <c r="G28" i="10"/>
  <c r="G29" i="10"/>
  <c r="G30" i="10"/>
  <c r="G31" i="10"/>
  <c r="G32" i="10"/>
  <c r="G33" i="10"/>
  <c r="G34" i="10"/>
  <c r="G35" i="10"/>
  <c r="P18" i="10"/>
  <c r="Q18" i="10" s="1"/>
  <c r="P19" i="10"/>
  <c r="Q19" i="10" s="1"/>
  <c r="P20" i="10"/>
  <c r="Q20" i="10" s="1"/>
  <c r="P21" i="10"/>
  <c r="Q21" i="10" s="1"/>
  <c r="P22" i="10"/>
  <c r="Q22" i="10" s="1"/>
  <c r="P23" i="10"/>
  <c r="Q23" i="10" s="1"/>
  <c r="P24" i="10"/>
  <c r="Q24" i="10" s="1"/>
  <c r="P26" i="10"/>
  <c r="Q26" i="10" s="1"/>
  <c r="P27" i="10"/>
  <c r="Q27" i="10" s="1"/>
  <c r="P28" i="10"/>
  <c r="Q28" i="10" s="1"/>
  <c r="P29" i="10"/>
  <c r="Q29" i="10" s="1"/>
  <c r="P30" i="10"/>
  <c r="Q30" i="10" s="1"/>
  <c r="P31" i="10"/>
  <c r="Q31" i="10" s="1"/>
  <c r="P32" i="10"/>
  <c r="Q32" i="10" s="1"/>
  <c r="P33" i="10"/>
  <c r="Q33" i="10" s="1"/>
  <c r="P34" i="10"/>
  <c r="Q34" i="10" s="1"/>
  <c r="P35" i="10"/>
  <c r="Q35" i="10" s="1"/>
  <c r="P17" i="10"/>
  <c r="Q17" i="10" s="1"/>
  <c r="E16" i="10"/>
  <c r="E18" i="10"/>
  <c r="E19" i="10"/>
  <c r="E20" i="10"/>
  <c r="E21" i="10"/>
  <c r="E22" i="10"/>
  <c r="E23" i="10"/>
  <c r="E24" i="10"/>
  <c r="E26" i="10"/>
  <c r="E27" i="10"/>
  <c r="E28" i="10"/>
  <c r="E29" i="10"/>
  <c r="E30" i="10"/>
  <c r="E31" i="10"/>
  <c r="E32" i="10"/>
  <c r="E33" i="10"/>
  <c r="E34" i="10"/>
  <c r="E35" i="10"/>
  <c r="E17" i="10"/>
  <c r="E40" i="10"/>
  <c r="G40" i="10"/>
  <c r="I40" i="10"/>
  <c r="K40" i="10"/>
  <c r="M40" i="10"/>
  <c r="O40" i="10"/>
  <c r="O17" i="10"/>
  <c r="M17" i="10"/>
  <c r="K17" i="10"/>
  <c r="I17" i="10"/>
  <c r="G17" i="10"/>
  <c r="O16" i="10"/>
  <c r="M16" i="10"/>
  <c r="K16" i="10"/>
  <c r="I16" i="10"/>
  <c r="G16" i="10"/>
  <c r="O15" i="10"/>
  <c r="P15" i="10"/>
  <c r="Q15" i="10" s="1"/>
  <c r="K15" i="10"/>
  <c r="I15" i="10"/>
  <c r="G15" i="10"/>
  <c r="E15" i="10"/>
  <c r="O14" i="10"/>
  <c r="M14" i="10"/>
  <c r="K14" i="10"/>
  <c r="I14" i="10"/>
  <c r="G14" i="10"/>
  <c r="E14" i="10"/>
  <c r="P14" i="10"/>
  <c r="Q14" i="10" s="1"/>
  <c r="O13" i="10"/>
  <c r="M13" i="10"/>
  <c r="K13" i="10"/>
  <c r="I13" i="10"/>
  <c r="G13" i="10"/>
  <c r="P13" i="10"/>
  <c r="Q13" i="10" s="1"/>
  <c r="P12" i="10"/>
  <c r="Q12" i="10" s="1"/>
  <c r="O12" i="10"/>
  <c r="M12" i="10"/>
  <c r="K12" i="10"/>
  <c r="I12" i="10"/>
  <c r="G12" i="10"/>
  <c r="E12" i="10"/>
  <c r="P17" i="8"/>
  <c r="Q17" i="8" s="1"/>
  <c r="O17" i="8"/>
  <c r="M17" i="8"/>
  <c r="K17" i="8"/>
  <c r="I17" i="8"/>
  <c r="G17" i="8"/>
  <c r="E17" i="8"/>
  <c r="O16" i="8"/>
  <c r="M16" i="8"/>
  <c r="K16" i="8"/>
  <c r="I16" i="8"/>
  <c r="G16" i="8"/>
  <c r="D16" i="8"/>
  <c r="E16" i="8" s="1"/>
  <c r="O15" i="8"/>
  <c r="L15" i="8"/>
  <c r="P15" i="8" s="1"/>
  <c r="Q15" i="8" s="1"/>
  <c r="K15" i="8"/>
  <c r="I15" i="8"/>
  <c r="G15" i="8"/>
  <c r="E15" i="8"/>
  <c r="O14" i="8"/>
  <c r="M14" i="8"/>
  <c r="K14" i="8"/>
  <c r="I14" i="8"/>
  <c r="F14" i="8"/>
  <c r="G14" i="8" s="1"/>
  <c r="D14" i="8"/>
  <c r="E14" i="8" s="1"/>
  <c r="P13" i="8"/>
  <c r="Q13" i="8" s="1"/>
  <c r="O13" i="8"/>
  <c r="M13" i="8"/>
  <c r="K13" i="8"/>
  <c r="H13" i="8"/>
  <c r="I13" i="8" s="1"/>
  <c r="F13" i="8"/>
  <c r="G13" i="8" s="1"/>
  <c r="D13" i="8"/>
  <c r="E13" i="8" s="1"/>
  <c r="O12" i="8"/>
  <c r="M12" i="8"/>
  <c r="K12" i="8"/>
  <c r="H12" i="8"/>
  <c r="I12" i="8" s="1"/>
  <c r="F12" i="8"/>
  <c r="G12" i="8" s="1"/>
  <c r="D12" i="8"/>
  <c r="E12" i="8" s="1"/>
  <c r="K36" i="7"/>
  <c r="R28" i="7"/>
  <c r="S28" i="7" s="1"/>
  <c r="Q28" i="7"/>
  <c r="M28" i="7"/>
  <c r="K28" i="7"/>
  <c r="I28" i="7"/>
  <c r="G28" i="7"/>
  <c r="E28" i="7"/>
  <c r="O28" i="7" s="1"/>
  <c r="R27" i="7"/>
  <c r="S27" i="7" s="1"/>
  <c r="Q27" i="7"/>
  <c r="M27" i="7"/>
  <c r="K27" i="7"/>
  <c r="I27" i="7"/>
  <c r="G27" i="7"/>
  <c r="E27" i="7"/>
  <c r="O27" i="7" s="1"/>
  <c r="R26" i="7"/>
  <c r="S26" i="7" s="1"/>
  <c r="Q26" i="7"/>
  <c r="O26" i="7"/>
  <c r="M26" i="7"/>
  <c r="K26" i="7"/>
  <c r="I26" i="7"/>
  <c r="G26" i="7"/>
  <c r="E26" i="7"/>
  <c r="R25" i="7"/>
  <c r="S25" i="7" s="1"/>
  <c r="Q25" i="7"/>
  <c r="M25" i="7"/>
  <c r="K25" i="7"/>
  <c r="I25" i="7"/>
  <c r="G25" i="7"/>
  <c r="E25" i="7"/>
  <c r="O25" i="7" s="1"/>
  <c r="R24" i="7"/>
  <c r="S24" i="7" s="1"/>
  <c r="Q24" i="7"/>
  <c r="M24" i="7"/>
  <c r="K24" i="7"/>
  <c r="I24" i="7"/>
  <c r="G24" i="7"/>
  <c r="E24" i="7"/>
  <c r="O24" i="7" s="1"/>
  <c r="R23" i="7"/>
  <c r="S23" i="7" s="1"/>
  <c r="Q23" i="7"/>
  <c r="O23" i="7"/>
  <c r="M23" i="7"/>
  <c r="K23" i="7"/>
  <c r="I23" i="7"/>
  <c r="G23" i="7"/>
  <c r="E23" i="7"/>
  <c r="Q22" i="7"/>
  <c r="M22" i="7"/>
  <c r="K22" i="7"/>
  <c r="H22" i="7"/>
  <c r="I22" i="7" s="1"/>
  <c r="G22" i="7"/>
  <c r="E22" i="7"/>
  <c r="O22" i="7" s="1"/>
  <c r="R21" i="7"/>
  <c r="S21" i="7" s="1"/>
  <c r="Q21" i="7"/>
  <c r="M21" i="7"/>
  <c r="K21" i="7"/>
  <c r="I21" i="7"/>
  <c r="G21" i="7"/>
  <c r="E21" i="7"/>
  <c r="O21" i="7" s="1"/>
  <c r="R20" i="7"/>
  <c r="S20" i="7" s="1"/>
  <c r="Q20" i="7"/>
  <c r="N20" i="7"/>
  <c r="O20" i="7" s="1"/>
  <c r="M20" i="7"/>
  <c r="K20" i="7"/>
  <c r="I20" i="7"/>
  <c r="G20" i="7"/>
  <c r="E20" i="7"/>
  <c r="Q19" i="7"/>
  <c r="O19" i="7"/>
  <c r="L19" i="7"/>
  <c r="M19" i="7" s="1"/>
  <c r="K19" i="7"/>
  <c r="I19" i="7"/>
  <c r="G19" i="7"/>
  <c r="E19" i="7"/>
  <c r="Q18" i="7"/>
  <c r="L18" i="7"/>
  <c r="R18" i="7" s="1"/>
  <c r="S18" i="7" s="1"/>
  <c r="K18" i="7"/>
  <c r="I18" i="7"/>
  <c r="G18" i="7"/>
  <c r="E18" i="7"/>
  <c r="O18" i="7" s="1"/>
  <c r="Q17" i="7"/>
  <c r="O17" i="7"/>
  <c r="L17" i="7"/>
  <c r="M17" i="7" s="1"/>
  <c r="K17" i="7"/>
  <c r="I17" i="7"/>
  <c r="G17" i="7"/>
  <c r="E17" i="7"/>
  <c r="Q16" i="7"/>
  <c r="M16" i="7"/>
  <c r="K16" i="7"/>
  <c r="I16" i="7"/>
  <c r="F16" i="7"/>
  <c r="G16" i="7" s="1"/>
  <c r="E16" i="7"/>
  <c r="O16" i="7" s="1"/>
  <c r="Q15" i="7"/>
  <c r="L15" i="7"/>
  <c r="K15" i="7"/>
  <c r="H15" i="7"/>
  <c r="I15" i="7" s="1"/>
  <c r="G15" i="7"/>
  <c r="E15" i="7"/>
  <c r="O15" i="7" s="1"/>
  <c r="Q14" i="7"/>
  <c r="O14" i="7"/>
  <c r="M14" i="7"/>
  <c r="K14" i="7"/>
  <c r="H14" i="7"/>
  <c r="R14" i="7" s="1"/>
  <c r="S14" i="7" s="1"/>
  <c r="G14" i="7"/>
  <c r="E14" i="7"/>
  <c r="Q13" i="7"/>
  <c r="M13" i="7"/>
  <c r="K13" i="7"/>
  <c r="H13" i="7"/>
  <c r="I13" i="7" s="1"/>
  <c r="G13" i="7"/>
  <c r="D13" i="7"/>
  <c r="R13" i="7" s="1"/>
  <c r="S13" i="7" s="1"/>
  <c r="Q12" i="7"/>
  <c r="O12" i="7"/>
  <c r="M12" i="7"/>
  <c r="J12" i="7"/>
  <c r="K12" i="7" s="1"/>
  <c r="I12" i="7"/>
  <c r="G12" i="7"/>
  <c r="D12" i="7"/>
  <c r="R12" i="7" s="1"/>
  <c r="S12" i="7" s="1"/>
  <c r="K36" i="6"/>
  <c r="P28" i="6"/>
  <c r="Q28" i="6" s="1"/>
  <c r="M28" i="6"/>
  <c r="K28" i="6"/>
  <c r="I28" i="6"/>
  <c r="G28" i="6"/>
  <c r="E28" i="6"/>
  <c r="O28" i="6" s="1"/>
  <c r="P27" i="6"/>
  <c r="Q27" i="6" s="1"/>
  <c r="M27" i="6"/>
  <c r="K27" i="6"/>
  <c r="I27" i="6"/>
  <c r="G27" i="6"/>
  <c r="E27" i="6"/>
  <c r="O27" i="6" s="1"/>
  <c r="P26" i="6"/>
  <c r="Q26" i="6" s="1"/>
  <c r="O26" i="6"/>
  <c r="M26" i="6"/>
  <c r="K26" i="6"/>
  <c r="I26" i="6"/>
  <c r="G26" i="6"/>
  <c r="E26" i="6"/>
  <c r="Q25" i="6"/>
  <c r="P25" i="6"/>
  <c r="M25" i="6"/>
  <c r="K25" i="6"/>
  <c r="I25" i="6"/>
  <c r="G25" i="6"/>
  <c r="E25" i="6"/>
  <c r="O25" i="6" s="1"/>
  <c r="P24" i="6"/>
  <c r="Q24" i="6" s="1"/>
  <c r="M24" i="6"/>
  <c r="K24" i="6"/>
  <c r="I24" i="6"/>
  <c r="G24" i="6"/>
  <c r="E24" i="6"/>
  <c r="O24" i="6" s="1"/>
  <c r="P23" i="6"/>
  <c r="Q23" i="6" s="1"/>
  <c r="O23" i="6"/>
  <c r="M23" i="6"/>
  <c r="K23" i="6"/>
  <c r="I23" i="6"/>
  <c r="G23" i="6"/>
  <c r="E23" i="6"/>
  <c r="P22" i="6"/>
  <c r="Q22" i="6" s="1"/>
  <c r="M22" i="6"/>
  <c r="K22" i="6"/>
  <c r="I22" i="6"/>
  <c r="G22" i="6"/>
  <c r="E22" i="6"/>
  <c r="O22" i="6" s="1"/>
  <c r="Q21" i="6"/>
  <c r="P21" i="6"/>
  <c r="M21" i="6"/>
  <c r="K21" i="6"/>
  <c r="I21" i="6"/>
  <c r="G21" i="6"/>
  <c r="E21" i="6"/>
  <c r="O21" i="6" s="1"/>
  <c r="P20" i="6"/>
  <c r="Q20" i="6" s="1"/>
  <c r="O20" i="6"/>
  <c r="M20" i="6"/>
  <c r="K20" i="6"/>
  <c r="I20" i="6"/>
  <c r="G20" i="6"/>
  <c r="E20" i="6"/>
  <c r="P19" i="6"/>
  <c r="Q19" i="6" s="1"/>
  <c r="M19" i="6"/>
  <c r="K19" i="6"/>
  <c r="I19" i="6"/>
  <c r="G19" i="6"/>
  <c r="E19" i="6"/>
  <c r="O19" i="6" s="1"/>
  <c r="P18" i="6"/>
  <c r="Q18" i="6" s="1"/>
  <c r="M18" i="6"/>
  <c r="K18" i="6"/>
  <c r="I18" i="6"/>
  <c r="G18" i="6"/>
  <c r="E18" i="6"/>
  <c r="O18" i="6" s="1"/>
  <c r="P17" i="6"/>
  <c r="Q17" i="6" s="1"/>
  <c r="O17" i="6"/>
  <c r="M17" i="6"/>
  <c r="K17" i="6"/>
  <c r="I17" i="6"/>
  <c r="G17" i="6"/>
  <c r="E17" i="6"/>
  <c r="Q16" i="6"/>
  <c r="P16" i="6"/>
  <c r="M16" i="6"/>
  <c r="K16" i="6"/>
  <c r="I16" i="6"/>
  <c r="G16" i="6"/>
  <c r="E16" i="6"/>
  <c r="O16" i="6" s="1"/>
  <c r="P15" i="6"/>
  <c r="Q15" i="6" s="1"/>
  <c r="O15" i="6"/>
  <c r="M15" i="6"/>
  <c r="K15" i="6"/>
  <c r="I15" i="6"/>
  <c r="G15" i="6"/>
  <c r="E15" i="6"/>
  <c r="M14" i="6"/>
  <c r="J14" i="6"/>
  <c r="P14" i="6" s="1"/>
  <c r="Q14" i="6" s="1"/>
  <c r="I14" i="6"/>
  <c r="G14" i="6"/>
  <c r="D14" i="6"/>
  <c r="E14" i="6" s="1"/>
  <c r="O14" i="6" s="1"/>
  <c r="M13" i="6"/>
  <c r="J13" i="6"/>
  <c r="K13" i="6" s="1"/>
  <c r="I13" i="6"/>
  <c r="G13" i="6"/>
  <c r="D13" i="6"/>
  <c r="P13" i="6" s="1"/>
  <c r="Q13" i="6" s="1"/>
  <c r="O12" i="6"/>
  <c r="M12" i="6"/>
  <c r="M30" i="6" s="1"/>
  <c r="J12" i="6"/>
  <c r="I12" i="6"/>
  <c r="G12" i="6"/>
  <c r="D12" i="6"/>
  <c r="E12" i="6" s="1"/>
  <c r="N27" i="5"/>
  <c r="E27" i="5"/>
  <c r="N26" i="5"/>
  <c r="E26" i="5"/>
  <c r="N25" i="5"/>
  <c r="K25" i="5"/>
  <c r="E25" i="5"/>
  <c r="N24" i="5"/>
  <c r="M24" i="5"/>
  <c r="K24" i="5"/>
  <c r="G24" i="5"/>
  <c r="E24" i="5"/>
  <c r="N23" i="5"/>
  <c r="M23" i="5"/>
  <c r="K23" i="5"/>
  <c r="G23" i="5"/>
  <c r="E23" i="5"/>
  <c r="N22" i="5"/>
  <c r="O22" i="5" s="1"/>
  <c r="M22" i="5"/>
  <c r="K22" i="5"/>
  <c r="I22" i="5"/>
  <c r="G22" i="5"/>
  <c r="E22" i="5"/>
  <c r="O21" i="5"/>
  <c r="N21" i="5"/>
  <c r="M21" i="5"/>
  <c r="K21" i="5"/>
  <c r="I21" i="5"/>
  <c r="G21" i="5"/>
  <c r="E21" i="5"/>
  <c r="N20" i="5"/>
  <c r="O20" i="5" s="1"/>
  <c r="M20" i="5"/>
  <c r="K20" i="5"/>
  <c r="I20" i="5"/>
  <c r="G20" i="5"/>
  <c r="E20" i="5"/>
  <c r="N19" i="5"/>
  <c r="O19" i="5" s="1"/>
  <c r="M19" i="5"/>
  <c r="K19" i="5"/>
  <c r="I19" i="5"/>
  <c r="G19" i="5"/>
  <c r="E19" i="5"/>
  <c r="N18" i="5"/>
  <c r="O18" i="5" s="1"/>
  <c r="M18" i="5"/>
  <c r="K18" i="5"/>
  <c r="I18" i="5"/>
  <c r="G18" i="5"/>
  <c r="E18" i="5"/>
  <c r="N17" i="5"/>
  <c r="O17" i="5" s="1"/>
  <c r="M17" i="5"/>
  <c r="K17" i="5"/>
  <c r="I17" i="5"/>
  <c r="G17" i="5"/>
  <c r="E17" i="5"/>
  <c r="N16" i="5"/>
  <c r="O16" i="5" s="1"/>
  <c r="M16" i="5"/>
  <c r="K16" i="5"/>
  <c r="I16" i="5"/>
  <c r="G16" i="5"/>
  <c r="E16" i="5"/>
  <c r="N15" i="5"/>
  <c r="O15" i="5" s="1"/>
  <c r="M15" i="5"/>
  <c r="K15" i="5"/>
  <c r="I15" i="5"/>
  <c r="G15" i="5"/>
  <c r="E15" i="5"/>
  <c r="N14" i="5"/>
  <c r="O14" i="5" s="1"/>
  <c r="M14" i="5"/>
  <c r="K14" i="5"/>
  <c r="I14" i="5"/>
  <c r="G14" i="5"/>
  <c r="E14" i="5"/>
  <c r="O13" i="5"/>
  <c r="N13" i="5"/>
  <c r="M13" i="5"/>
  <c r="K13" i="5"/>
  <c r="I13" i="5"/>
  <c r="G13" i="5"/>
  <c r="E13" i="5"/>
  <c r="N12" i="5"/>
  <c r="O12" i="5" s="1"/>
  <c r="M12" i="5"/>
  <c r="K12" i="5"/>
  <c r="I12" i="5"/>
  <c r="G12" i="5"/>
  <c r="E12" i="5"/>
  <c r="W26" i="4"/>
  <c r="M26" i="4"/>
  <c r="I26" i="4"/>
  <c r="G26" i="4"/>
  <c r="E26" i="4"/>
  <c r="O26" i="4" s="1"/>
  <c r="W25" i="4"/>
  <c r="M25" i="4"/>
  <c r="I25" i="4"/>
  <c r="G25" i="4"/>
  <c r="E25" i="4"/>
  <c r="K25" i="4" s="1"/>
  <c r="W24" i="4"/>
  <c r="M24" i="4"/>
  <c r="I24" i="4"/>
  <c r="G24" i="4"/>
  <c r="E24" i="4"/>
  <c r="O24" i="4" s="1"/>
  <c r="W23" i="4"/>
  <c r="M23" i="4"/>
  <c r="I23" i="4"/>
  <c r="G23" i="4"/>
  <c r="E23" i="4"/>
  <c r="O23" i="4" s="1"/>
  <c r="W22" i="4"/>
  <c r="O22" i="4"/>
  <c r="M22" i="4"/>
  <c r="I22" i="4"/>
  <c r="G22" i="4"/>
  <c r="E22" i="4"/>
  <c r="K22" i="4" s="1"/>
  <c r="W21" i="4"/>
  <c r="M21" i="4"/>
  <c r="I21" i="4"/>
  <c r="G21" i="4"/>
  <c r="E21" i="4"/>
  <c r="K21" i="4" s="1"/>
  <c r="W20" i="4"/>
  <c r="M20" i="4"/>
  <c r="I20" i="4"/>
  <c r="G20" i="4"/>
  <c r="E20" i="4"/>
  <c r="K20" i="4" s="1"/>
  <c r="W19" i="4"/>
  <c r="M19" i="4"/>
  <c r="I19" i="4"/>
  <c r="G19" i="4"/>
  <c r="E19" i="4"/>
  <c r="K19" i="4" s="1"/>
  <c r="W18" i="4"/>
  <c r="M18" i="4"/>
  <c r="I18" i="4"/>
  <c r="G18" i="4"/>
  <c r="E18" i="4"/>
  <c r="O18" i="4" s="1"/>
  <c r="W17" i="4"/>
  <c r="O17" i="4"/>
  <c r="M17" i="4"/>
  <c r="K17" i="4"/>
  <c r="I17" i="4"/>
  <c r="G17" i="4"/>
  <c r="E17" i="4"/>
  <c r="W16" i="4"/>
  <c r="U16" i="4"/>
  <c r="S16" i="4"/>
  <c r="Q16" i="4"/>
  <c r="M16" i="4"/>
  <c r="K16" i="4"/>
  <c r="I16" i="4"/>
  <c r="G16" i="4"/>
  <c r="E16" i="4"/>
  <c r="O16" i="4" s="1"/>
  <c r="W15" i="4"/>
  <c r="U15" i="4"/>
  <c r="S15" i="4"/>
  <c r="Q15" i="4"/>
  <c r="M15" i="4"/>
  <c r="K15" i="4"/>
  <c r="I15" i="4"/>
  <c r="G15" i="4"/>
  <c r="E15" i="4"/>
  <c r="O15" i="4" s="1"/>
  <c r="W14" i="4"/>
  <c r="U14" i="4"/>
  <c r="S14" i="4"/>
  <c r="Q14" i="4"/>
  <c r="M14" i="4"/>
  <c r="K14" i="4"/>
  <c r="I14" i="4"/>
  <c r="G14" i="4"/>
  <c r="E14" i="4"/>
  <c r="O14" i="4" s="1"/>
  <c r="T13" i="4"/>
  <c r="U13" i="4" s="1"/>
  <c r="R13" i="4"/>
  <c r="S13" i="4" s="1"/>
  <c r="S28" i="4" s="1"/>
  <c r="P13" i="4"/>
  <c r="Q13" i="4" s="1"/>
  <c r="Q28" i="4" s="1"/>
  <c r="O13" i="4"/>
  <c r="N13" i="4"/>
  <c r="M13" i="4"/>
  <c r="K13" i="4"/>
  <c r="I13" i="4"/>
  <c r="G13" i="4"/>
  <c r="E13" i="4"/>
  <c r="W12" i="4"/>
  <c r="U12" i="4"/>
  <c r="S12" i="4"/>
  <c r="Q12" i="4"/>
  <c r="O12" i="4"/>
  <c r="M12" i="4"/>
  <c r="M28" i="4" s="1"/>
  <c r="K12" i="4"/>
  <c r="I12" i="4"/>
  <c r="G12" i="4"/>
  <c r="E12" i="4"/>
  <c r="O26" i="3"/>
  <c r="M26" i="3"/>
  <c r="K26" i="3"/>
  <c r="I26" i="3"/>
  <c r="G26" i="3"/>
  <c r="E26" i="3"/>
  <c r="O25" i="3"/>
  <c r="M25" i="3"/>
  <c r="K25" i="3"/>
  <c r="I25" i="3"/>
  <c r="G25" i="3"/>
  <c r="E25" i="3"/>
  <c r="O24" i="3"/>
  <c r="M24" i="3"/>
  <c r="K24" i="3"/>
  <c r="I24" i="3"/>
  <c r="G24" i="3"/>
  <c r="E24" i="3"/>
  <c r="O23" i="3"/>
  <c r="M23" i="3"/>
  <c r="K23" i="3"/>
  <c r="I23" i="3"/>
  <c r="G23" i="3"/>
  <c r="E23" i="3"/>
  <c r="O22" i="3"/>
  <c r="M22" i="3"/>
  <c r="K22" i="3"/>
  <c r="I22" i="3"/>
  <c r="G22" i="3"/>
  <c r="E22" i="3"/>
  <c r="O21" i="3"/>
  <c r="M21" i="3"/>
  <c r="K21" i="3"/>
  <c r="I21" i="3"/>
  <c r="G21" i="3"/>
  <c r="E21" i="3"/>
  <c r="O20" i="3"/>
  <c r="M20" i="3"/>
  <c r="K20" i="3"/>
  <c r="I20" i="3"/>
  <c r="G20" i="3"/>
  <c r="E20" i="3"/>
  <c r="O19" i="3"/>
  <c r="M19" i="3"/>
  <c r="K19" i="3"/>
  <c r="I19" i="3"/>
  <c r="G19" i="3"/>
  <c r="E19" i="3"/>
  <c r="O18" i="3"/>
  <c r="M18" i="3"/>
  <c r="K18" i="3"/>
  <c r="I18" i="3"/>
  <c r="G18" i="3"/>
  <c r="E18" i="3"/>
  <c r="O17" i="3"/>
  <c r="M17" i="3"/>
  <c r="K17" i="3"/>
  <c r="I17" i="3"/>
  <c r="G17" i="3"/>
  <c r="D17" i="3"/>
  <c r="E17" i="3" s="1"/>
  <c r="O16" i="3"/>
  <c r="M16" i="3"/>
  <c r="K16" i="3"/>
  <c r="I16" i="3"/>
  <c r="G16" i="3"/>
  <c r="D16" i="3"/>
  <c r="E16" i="3" s="1"/>
  <c r="N15" i="3"/>
  <c r="O15" i="3" s="1"/>
  <c r="M15" i="3"/>
  <c r="L15" i="3"/>
  <c r="J15" i="3"/>
  <c r="K15" i="3" s="1"/>
  <c r="H15" i="3"/>
  <c r="I15" i="3" s="1"/>
  <c r="F15" i="3"/>
  <c r="G15" i="3" s="1"/>
  <c r="D15" i="3"/>
  <c r="E15" i="3" s="1"/>
  <c r="M14" i="3"/>
  <c r="J14" i="3"/>
  <c r="K14" i="3" s="1"/>
  <c r="I14" i="3"/>
  <c r="F14" i="3"/>
  <c r="G14" i="3" s="1"/>
  <c r="D14" i="3"/>
  <c r="E14" i="3" s="1"/>
  <c r="M13" i="3"/>
  <c r="J13" i="3"/>
  <c r="K13" i="3" s="1"/>
  <c r="H13" i="3"/>
  <c r="I13" i="3" s="1"/>
  <c r="G13" i="3"/>
  <c r="F13" i="3"/>
  <c r="D13" i="3"/>
  <c r="N13" i="3" s="1"/>
  <c r="O13" i="3" s="1"/>
  <c r="M12" i="3"/>
  <c r="J12" i="3"/>
  <c r="K12" i="3" s="1"/>
  <c r="H12" i="3"/>
  <c r="I12" i="3" s="1"/>
  <c r="F12" i="3"/>
  <c r="G12" i="3" s="1"/>
  <c r="D12" i="3"/>
  <c r="O28" i="2"/>
  <c r="N28" i="2"/>
  <c r="M28" i="2"/>
  <c r="K28" i="2"/>
  <c r="I28" i="2"/>
  <c r="G28" i="2"/>
  <c r="E28" i="2"/>
  <c r="M27" i="2"/>
  <c r="K27" i="2"/>
  <c r="I27" i="2"/>
  <c r="G27" i="2"/>
  <c r="D27" i="2"/>
  <c r="E27" i="2" s="1"/>
  <c r="O26" i="2"/>
  <c r="N26" i="2"/>
  <c r="M26" i="2"/>
  <c r="K26" i="2"/>
  <c r="I26" i="2"/>
  <c r="G26" i="2"/>
  <c r="E26" i="2"/>
  <c r="N25" i="2"/>
  <c r="O25" i="2" s="1"/>
  <c r="M25" i="2"/>
  <c r="K25" i="2"/>
  <c r="I25" i="2"/>
  <c r="G25" i="2"/>
  <c r="E25" i="2"/>
  <c r="O24" i="2"/>
  <c r="N24" i="2"/>
  <c r="M24" i="2"/>
  <c r="K24" i="2"/>
  <c r="I24" i="2"/>
  <c r="G24" i="2"/>
  <c r="E24" i="2"/>
  <c r="N23" i="2"/>
  <c r="O23" i="2" s="1"/>
  <c r="M23" i="2"/>
  <c r="K23" i="2"/>
  <c r="I23" i="2"/>
  <c r="G23" i="2"/>
  <c r="E23" i="2"/>
  <c r="N22" i="2"/>
  <c r="O22" i="2" s="1"/>
  <c r="M22" i="2"/>
  <c r="K22" i="2"/>
  <c r="I22" i="2"/>
  <c r="G22" i="2"/>
  <c r="E22" i="2"/>
  <c r="N21" i="2"/>
  <c r="O21" i="2" s="1"/>
  <c r="M21" i="2"/>
  <c r="K21" i="2"/>
  <c r="I21" i="2"/>
  <c r="G21" i="2"/>
  <c r="E21" i="2"/>
  <c r="N20" i="2"/>
  <c r="O20" i="2" s="1"/>
  <c r="M20" i="2"/>
  <c r="K20" i="2"/>
  <c r="I20" i="2"/>
  <c r="G20" i="2"/>
  <c r="E20" i="2"/>
  <c r="N19" i="2"/>
  <c r="O19" i="2" s="1"/>
  <c r="M19" i="2"/>
  <c r="K19" i="2"/>
  <c r="I19" i="2"/>
  <c r="G19" i="2"/>
  <c r="E19" i="2"/>
  <c r="O18" i="2"/>
  <c r="N18" i="2"/>
  <c r="M18" i="2"/>
  <c r="K18" i="2"/>
  <c r="I18" i="2"/>
  <c r="G18" i="2"/>
  <c r="E18" i="2"/>
  <c r="N17" i="2"/>
  <c r="O17" i="2" s="1"/>
  <c r="M17" i="2"/>
  <c r="K17" i="2"/>
  <c r="I17" i="2"/>
  <c r="G17" i="2"/>
  <c r="E17" i="2"/>
  <c r="N16" i="2"/>
  <c r="O16" i="2" s="1"/>
  <c r="M16" i="2"/>
  <c r="K16" i="2"/>
  <c r="I16" i="2"/>
  <c r="G16" i="2"/>
  <c r="E16" i="2"/>
  <c r="N15" i="2"/>
  <c r="O15" i="2" s="1"/>
  <c r="M15" i="2"/>
  <c r="K15" i="2"/>
  <c r="I15" i="2"/>
  <c r="G15" i="2"/>
  <c r="E15" i="2"/>
  <c r="N14" i="2"/>
  <c r="O14" i="2" s="1"/>
  <c r="M14" i="2"/>
  <c r="K14" i="2"/>
  <c r="I14" i="2"/>
  <c r="G14" i="2"/>
  <c r="E14" i="2"/>
  <c r="N13" i="2"/>
  <c r="O13" i="2" s="1"/>
  <c r="M13" i="2"/>
  <c r="K13" i="2"/>
  <c r="I13" i="2"/>
  <c r="G13" i="2"/>
  <c r="E13" i="2"/>
  <c r="M12" i="2"/>
  <c r="K12" i="2"/>
  <c r="I12" i="2"/>
  <c r="G12" i="2"/>
  <c r="D12" i="2"/>
  <c r="N12" i="2" s="1"/>
  <c r="O12" i="2" s="1"/>
  <c r="N28" i="1"/>
  <c r="O28" i="1" s="1"/>
  <c r="M28" i="1"/>
  <c r="K28" i="1"/>
  <c r="I28" i="1"/>
  <c r="G28" i="1"/>
  <c r="E28" i="1"/>
  <c r="N27" i="1"/>
  <c r="O27" i="1" s="1"/>
  <c r="M27" i="1"/>
  <c r="K27" i="1"/>
  <c r="I27" i="1"/>
  <c r="G27" i="1"/>
  <c r="E27" i="1"/>
  <c r="N26" i="1"/>
  <c r="O26" i="1" s="1"/>
  <c r="M26" i="1"/>
  <c r="K26" i="1"/>
  <c r="I26" i="1"/>
  <c r="G26" i="1"/>
  <c r="E26" i="1"/>
  <c r="N25" i="1"/>
  <c r="O25" i="1" s="1"/>
  <c r="M25" i="1"/>
  <c r="K25" i="1"/>
  <c r="I25" i="1"/>
  <c r="G25" i="1"/>
  <c r="E25" i="1"/>
  <c r="N24" i="1"/>
  <c r="O24" i="1" s="1"/>
  <c r="M24" i="1"/>
  <c r="K24" i="1"/>
  <c r="I24" i="1"/>
  <c r="G24" i="1"/>
  <c r="E24" i="1"/>
  <c r="N23" i="1"/>
  <c r="O23" i="1" s="1"/>
  <c r="M23" i="1"/>
  <c r="K23" i="1"/>
  <c r="I23" i="1"/>
  <c r="G23" i="1"/>
  <c r="E23" i="1"/>
  <c r="N22" i="1"/>
  <c r="O22" i="1" s="1"/>
  <c r="M22" i="1"/>
  <c r="K22" i="1"/>
  <c r="I22" i="1"/>
  <c r="G22" i="1"/>
  <c r="E22" i="1"/>
  <c r="N21" i="1"/>
  <c r="O21" i="1" s="1"/>
  <c r="M21" i="1"/>
  <c r="K21" i="1"/>
  <c r="I21" i="1"/>
  <c r="G21" i="1"/>
  <c r="E21" i="1"/>
  <c r="N20" i="1"/>
  <c r="O20" i="1" s="1"/>
  <c r="M20" i="1"/>
  <c r="K20" i="1"/>
  <c r="I20" i="1"/>
  <c r="G20" i="1"/>
  <c r="E20" i="1"/>
  <c r="N19" i="1"/>
  <c r="O19" i="1" s="1"/>
  <c r="M19" i="1"/>
  <c r="K19" i="1"/>
  <c r="I19" i="1"/>
  <c r="G19" i="1"/>
  <c r="E19" i="1"/>
  <c r="N18" i="1"/>
  <c r="O18" i="1" s="1"/>
  <c r="M18" i="1"/>
  <c r="K18" i="1"/>
  <c r="I18" i="1"/>
  <c r="G18" i="1"/>
  <c r="E18" i="1"/>
  <c r="N17" i="1"/>
  <c r="O17" i="1" s="1"/>
  <c r="M17" i="1"/>
  <c r="K17" i="1"/>
  <c r="I17" i="1"/>
  <c r="G17" i="1"/>
  <c r="E17" i="1"/>
  <c r="N16" i="1"/>
  <c r="O16" i="1" s="1"/>
  <c r="M16" i="1"/>
  <c r="K16" i="1"/>
  <c r="I16" i="1"/>
  <c r="G16" i="1"/>
  <c r="E16" i="1"/>
  <c r="N15" i="1"/>
  <c r="O15" i="1" s="1"/>
  <c r="M15" i="1"/>
  <c r="K15" i="1"/>
  <c r="I15" i="1"/>
  <c r="G15" i="1"/>
  <c r="E15" i="1"/>
  <c r="N14" i="1"/>
  <c r="O14" i="1" s="1"/>
  <c r="M14" i="1"/>
  <c r="K14" i="1"/>
  <c r="I14" i="1"/>
  <c r="G14" i="1"/>
  <c r="E14" i="1"/>
  <c r="N13" i="1"/>
  <c r="O13" i="1" s="1"/>
  <c r="M13" i="1"/>
  <c r="K13" i="1"/>
  <c r="I13" i="1"/>
  <c r="G13" i="1"/>
  <c r="E13" i="1"/>
  <c r="M12" i="1"/>
  <c r="K12" i="1"/>
  <c r="H12" i="1"/>
  <c r="I12" i="1" s="1"/>
  <c r="G12" i="1"/>
  <c r="D12" i="1"/>
  <c r="N12" i="1" s="1"/>
  <c r="O12" i="1" s="1"/>
  <c r="E13" i="3" l="1"/>
  <c r="E13" i="6"/>
  <c r="O13" i="6" s="1"/>
  <c r="K20" i="8"/>
  <c r="U28" i="4"/>
  <c r="M30" i="5"/>
  <c r="K14" i="6"/>
  <c r="E13" i="7"/>
  <c r="O13" i="7" s="1"/>
  <c r="N14" i="3"/>
  <c r="O14" i="3" s="1"/>
  <c r="O19" i="4"/>
  <c r="O21" i="4"/>
  <c r="K23" i="4"/>
  <c r="O25" i="4"/>
  <c r="O20" i="8"/>
  <c r="M28" i="3"/>
  <c r="I28" i="3"/>
  <c r="R19" i="7"/>
  <c r="S19" i="7" s="1"/>
  <c r="P12" i="8"/>
  <c r="Q12" i="8" s="1"/>
  <c r="G30" i="5"/>
  <c r="G32" i="5" s="1"/>
  <c r="G34" i="5" s="1"/>
  <c r="N12" i="3"/>
  <c r="O12" i="3" s="1"/>
  <c r="M18" i="7"/>
  <c r="K34" i="12"/>
  <c r="K36" i="12" s="1"/>
  <c r="Q30" i="7"/>
  <c r="G30" i="1"/>
  <c r="G32" i="1" s="1"/>
  <c r="M30" i="1"/>
  <c r="G30" i="2"/>
  <c r="E12" i="3"/>
  <c r="E28" i="3" s="1"/>
  <c r="E32" i="3" s="1"/>
  <c r="E28" i="4"/>
  <c r="I30" i="5"/>
  <c r="E30" i="5"/>
  <c r="G30" i="7"/>
  <c r="I30" i="2"/>
  <c r="I32" i="2" s="1"/>
  <c r="I34" i="2" s="1"/>
  <c r="G28" i="3"/>
  <c r="G28" i="4"/>
  <c r="K18" i="4"/>
  <c r="K28" i="4" s="1"/>
  <c r="I30" i="6"/>
  <c r="I32" i="6" s="1"/>
  <c r="P14" i="8"/>
  <c r="Q14" i="8" s="1"/>
  <c r="K30" i="2"/>
  <c r="I28" i="4"/>
  <c r="K30" i="5"/>
  <c r="P12" i="6"/>
  <c r="Q12" i="6" s="1"/>
  <c r="K30" i="7"/>
  <c r="R15" i="7"/>
  <c r="S15" i="7" s="1"/>
  <c r="P16" i="8"/>
  <c r="Q16" i="8" s="1"/>
  <c r="K30" i="1"/>
  <c r="K32" i="1" s="1"/>
  <c r="K34" i="1" s="1"/>
  <c r="I30" i="1"/>
  <c r="I32" i="1" s="1"/>
  <c r="I34" i="1" s="1"/>
  <c r="E12" i="2"/>
  <c r="E30" i="2" s="1"/>
  <c r="M30" i="2"/>
  <c r="M32" i="2" s="1"/>
  <c r="V13" i="4"/>
  <c r="W13" i="4" s="1"/>
  <c r="W28" i="4" s="1"/>
  <c r="K12" i="6"/>
  <c r="G30" i="6"/>
  <c r="G32" i="6" s="1"/>
  <c r="G34" i="6" s="1"/>
  <c r="G35" i="6" s="1"/>
  <c r="M15" i="7"/>
  <c r="M30" i="7" s="1"/>
  <c r="G44" i="13"/>
  <c r="G46" i="13" s="1"/>
  <c r="G48" i="13" s="1"/>
  <c r="K44" i="13"/>
  <c r="K46" i="13" s="1"/>
  <c r="K48" i="13" s="1"/>
  <c r="M44" i="13"/>
  <c r="M46" i="13" s="1"/>
  <c r="M48" i="13" s="1"/>
  <c r="O44" i="13"/>
  <c r="O46" i="13" s="1"/>
  <c r="O48" i="13" s="1"/>
  <c r="I44" i="13"/>
  <c r="I46" i="13" s="1"/>
  <c r="I48" i="13" s="1"/>
  <c r="E46" i="13"/>
  <c r="E48" i="13" s="1"/>
  <c r="O34" i="12"/>
  <c r="O36" i="12" s="1"/>
  <c r="O38" i="12" s="1"/>
  <c r="E36" i="12"/>
  <c r="E38" i="12" s="1"/>
  <c r="P19" i="12"/>
  <c r="Q19" i="12" s="1"/>
  <c r="P23" i="12"/>
  <c r="Q23" i="12" s="1"/>
  <c r="G21" i="12"/>
  <c r="G34" i="12" s="1"/>
  <c r="M22" i="12"/>
  <c r="M34" i="12" s="1"/>
  <c r="O42" i="10"/>
  <c r="O44" i="10" s="1"/>
  <c r="O46" i="10" s="1"/>
  <c r="K42" i="10"/>
  <c r="K44" i="10" s="1"/>
  <c r="K46" i="10" s="1"/>
  <c r="G42" i="10"/>
  <c r="I42" i="10"/>
  <c r="E13" i="10"/>
  <c r="E42" i="10" s="1"/>
  <c r="P16" i="10"/>
  <c r="Q16" i="10" s="1"/>
  <c r="Q42" i="10" s="1"/>
  <c r="M15" i="10"/>
  <c r="M42" i="10" s="1"/>
  <c r="I30" i="3"/>
  <c r="I32" i="3" s="1"/>
  <c r="O28" i="3"/>
  <c r="E30" i="3"/>
  <c r="I30" i="4"/>
  <c r="I32" i="4"/>
  <c r="G32" i="2"/>
  <c r="G34" i="2"/>
  <c r="K32" i="5"/>
  <c r="K34" i="5"/>
  <c r="W30" i="4"/>
  <c r="W32" i="4"/>
  <c r="E20" i="8"/>
  <c r="M34" i="1"/>
  <c r="M32" i="1"/>
  <c r="E30" i="4"/>
  <c r="E32" i="4" s="1"/>
  <c r="Q30" i="6"/>
  <c r="K28" i="3"/>
  <c r="M30" i="4"/>
  <c r="M32" i="4" s="1"/>
  <c r="M32" i="6"/>
  <c r="M34" i="6" s="1"/>
  <c r="O30" i="7"/>
  <c r="I32" i="5"/>
  <c r="I34" i="5" s="1"/>
  <c r="M30" i="3"/>
  <c r="M32" i="3"/>
  <c r="Q30" i="4"/>
  <c r="Q32" i="4" s="1"/>
  <c r="G20" i="8"/>
  <c r="E32" i="5"/>
  <c r="E34" i="5" s="1"/>
  <c r="K32" i="2"/>
  <c r="K34" i="2"/>
  <c r="K32" i="7"/>
  <c r="K34" i="7"/>
  <c r="I20" i="8"/>
  <c r="S30" i="4"/>
  <c r="S32" i="4" s="1"/>
  <c r="G32" i="7"/>
  <c r="G34" i="7"/>
  <c r="O30" i="6"/>
  <c r="K22" i="8"/>
  <c r="K24" i="8"/>
  <c r="O30" i="1"/>
  <c r="U30" i="4"/>
  <c r="U32" i="4"/>
  <c r="M32" i="5"/>
  <c r="M34" i="5" s="1"/>
  <c r="O30" i="5"/>
  <c r="O22" i="8"/>
  <c r="O24" i="8" s="1"/>
  <c r="O20" i="4"/>
  <c r="E12" i="7"/>
  <c r="E30" i="7" s="1"/>
  <c r="I14" i="7"/>
  <c r="I30" i="7" s="1"/>
  <c r="R17" i="7"/>
  <c r="S17" i="7" s="1"/>
  <c r="R22" i="7"/>
  <c r="S22" i="7" s="1"/>
  <c r="N27" i="2"/>
  <c r="O27" i="2" s="1"/>
  <c r="O30" i="2" s="1"/>
  <c r="K24" i="4"/>
  <c r="R16" i="7"/>
  <c r="S16" i="7" s="1"/>
  <c r="S30" i="7" s="1"/>
  <c r="M15" i="8"/>
  <c r="M20" i="8" s="1"/>
  <c r="E12" i="1"/>
  <c r="E30" i="1" s="1"/>
  <c r="K26" i="4"/>
  <c r="G32" i="3" l="1"/>
  <c r="M32" i="7"/>
  <c r="M34" i="7" s="1"/>
  <c r="M35" i="7" s="1"/>
  <c r="M39" i="7" s="1"/>
  <c r="E32" i="2"/>
  <c r="E34" i="2" s="1"/>
  <c r="I34" i="12"/>
  <c r="I36" i="12" s="1"/>
  <c r="I38" i="12" s="1"/>
  <c r="M34" i="2"/>
  <c r="M35" i="2" s="1"/>
  <c r="M39" i="2" s="1"/>
  <c r="G30" i="4"/>
  <c r="G32" i="4" s="1"/>
  <c r="Q34" i="12"/>
  <c r="Q36" i="12" s="1"/>
  <c r="Q38" i="12" s="1"/>
  <c r="Q20" i="8"/>
  <c r="Q22" i="8" s="1"/>
  <c r="Q24" i="8" s="1"/>
  <c r="Q25" i="8" s="1"/>
  <c r="Q29" i="8" s="1"/>
  <c r="G30" i="3"/>
  <c r="I34" i="6"/>
  <c r="O28" i="4"/>
  <c r="Q32" i="7"/>
  <c r="Q34" i="7" s="1"/>
  <c r="K30" i="6"/>
  <c r="K32" i="6" s="1"/>
  <c r="K34" i="6" s="1"/>
  <c r="G34" i="1"/>
  <c r="E30" i="6"/>
  <c r="E32" i="6" s="1"/>
  <c r="E34" i="6" s="1"/>
  <c r="E49" i="13"/>
  <c r="E53" i="13" s="1"/>
  <c r="I49" i="13"/>
  <c r="I53" i="13" s="1"/>
  <c r="G49" i="13"/>
  <c r="G53" i="13" s="1"/>
  <c r="M49" i="13"/>
  <c r="M53" i="13" s="1"/>
  <c r="K49" i="13"/>
  <c r="K53" i="13" s="1"/>
  <c r="O49" i="13"/>
  <c r="O53" i="13" s="1"/>
  <c r="K38" i="12"/>
  <c r="K39" i="12" s="1"/>
  <c r="K43" i="12" s="1"/>
  <c r="G36" i="12"/>
  <c r="G38" i="12" s="1"/>
  <c r="O39" i="12"/>
  <c r="O43" i="12" s="1"/>
  <c r="M36" i="12"/>
  <c r="M38" i="12" s="1"/>
  <c r="E39" i="12"/>
  <c r="E43" i="12" s="1"/>
  <c r="Q44" i="10"/>
  <c r="Q46" i="10" s="1"/>
  <c r="M44" i="10"/>
  <c r="M46" i="10" s="1"/>
  <c r="E44" i="10"/>
  <c r="E46" i="10" s="1"/>
  <c r="K47" i="10"/>
  <c r="K51" i="10" s="1"/>
  <c r="O47" i="10"/>
  <c r="O51" i="10" s="1"/>
  <c r="I44" i="10"/>
  <c r="I46" i="10" s="1"/>
  <c r="G44" i="10"/>
  <c r="G46" i="10" s="1"/>
  <c r="M35" i="6"/>
  <c r="M39" i="6" s="1"/>
  <c r="S32" i="7"/>
  <c r="S34" i="7" s="1"/>
  <c r="M35" i="5"/>
  <c r="M39" i="5" s="1"/>
  <c r="I35" i="2"/>
  <c r="I39" i="2"/>
  <c r="G35" i="5"/>
  <c r="G39" i="5" s="1"/>
  <c r="O32" i="2"/>
  <c r="O34" i="2"/>
  <c r="S33" i="4"/>
  <c r="S37" i="4"/>
  <c r="K35" i="6"/>
  <c r="K39" i="6" s="1"/>
  <c r="Q33" i="4"/>
  <c r="Q37" i="4"/>
  <c r="M22" i="8"/>
  <c r="M24" i="8" s="1"/>
  <c r="E35" i="6"/>
  <c r="E39" i="6"/>
  <c r="I32" i="7"/>
  <c r="I34" i="7"/>
  <c r="E33" i="4"/>
  <c r="E37" i="4"/>
  <c r="O30" i="4"/>
  <c r="O32" i="4" s="1"/>
  <c r="K35" i="1"/>
  <c r="K39" i="1" s="1"/>
  <c r="O25" i="8"/>
  <c r="O29" i="8" s="1"/>
  <c r="I35" i="1"/>
  <c r="I39" i="1" s="1"/>
  <c r="I22" i="8"/>
  <c r="I24" i="8" s="1"/>
  <c r="O32" i="7"/>
  <c r="O34" i="7" s="1"/>
  <c r="K30" i="4"/>
  <c r="K32" i="4"/>
  <c r="E22" i="8"/>
  <c r="E24" i="8"/>
  <c r="K25" i="8"/>
  <c r="K29" i="8" s="1"/>
  <c r="I33" i="4"/>
  <c r="I37" i="4" s="1"/>
  <c r="I35" i="5"/>
  <c r="I39" i="5" s="1"/>
  <c r="U33" i="4"/>
  <c r="U37" i="4"/>
  <c r="O32" i="1"/>
  <c r="O34" i="1" s="1"/>
  <c r="M33" i="3"/>
  <c r="M37" i="3"/>
  <c r="M33" i="4"/>
  <c r="M37" i="4" s="1"/>
  <c r="K35" i="7"/>
  <c r="K39" i="7" s="1"/>
  <c r="K35" i="2"/>
  <c r="K39" i="2"/>
  <c r="O32" i="6"/>
  <c r="O34" i="6" s="1"/>
  <c r="G33" i="3"/>
  <c r="G37" i="3" s="1"/>
  <c r="K30" i="3"/>
  <c r="K32" i="3"/>
  <c r="I33" i="3"/>
  <c r="I37" i="3" s="1"/>
  <c r="E32" i="7"/>
  <c r="E34" i="7" s="1"/>
  <c r="E32" i="1"/>
  <c r="E34" i="1"/>
  <c r="G35" i="1"/>
  <c r="G39" i="1"/>
  <c r="Q32" i="6"/>
  <c r="Q34" i="6" s="1"/>
  <c r="O30" i="3"/>
  <c r="O32" i="3"/>
  <c r="E35" i="5"/>
  <c r="E39" i="5" s="1"/>
  <c r="I35" i="6"/>
  <c r="I39" i="6" s="1"/>
  <c r="E33" i="3"/>
  <c r="E37" i="3" s="1"/>
  <c r="G35" i="2"/>
  <c r="G39" i="2" s="1"/>
  <c r="W33" i="4"/>
  <c r="W37" i="4" s="1"/>
  <c r="K35" i="5"/>
  <c r="K39" i="5"/>
  <c r="M35" i="1"/>
  <c r="M39" i="1" s="1"/>
  <c r="O32" i="5"/>
  <c r="O34" i="5"/>
  <c r="G35" i="7"/>
  <c r="G39" i="7"/>
  <c r="G22" i="8"/>
  <c r="G24" i="8" s="1"/>
  <c r="E35" i="2" l="1"/>
  <c r="E39" i="2"/>
  <c r="Q35" i="7"/>
  <c r="Q39" i="7" s="1"/>
  <c r="G33" i="4"/>
  <c r="G37" i="4" s="1"/>
  <c r="Q39" i="12"/>
  <c r="Q43" i="12" s="1"/>
  <c r="M39" i="12"/>
  <c r="M43" i="12" s="1"/>
  <c r="G39" i="12"/>
  <c r="G43" i="12" s="1"/>
  <c r="I39" i="12"/>
  <c r="I43" i="12" s="1"/>
  <c r="M47" i="10"/>
  <c r="M51" i="10" s="1"/>
  <c r="Q47" i="10"/>
  <c r="Q51" i="10" s="1"/>
  <c r="I47" i="10"/>
  <c r="I51" i="10" s="1"/>
  <c r="E47" i="10"/>
  <c r="E51" i="10" s="1"/>
  <c r="G47" i="10"/>
  <c r="G51" i="10" s="1"/>
  <c r="Q35" i="6"/>
  <c r="Q39" i="6" s="1"/>
  <c r="O35" i="7"/>
  <c r="O39" i="7"/>
  <c r="O33" i="4"/>
  <c r="O37" i="4"/>
  <c r="M25" i="8"/>
  <c r="M29" i="8" s="1"/>
  <c r="O35" i="1"/>
  <c r="O39" i="1" s="1"/>
  <c r="S35" i="7"/>
  <c r="S39" i="7"/>
  <c r="O35" i="6"/>
  <c r="O39" i="6" s="1"/>
  <c r="O35" i="2"/>
  <c r="O39" i="2"/>
  <c r="O35" i="5"/>
  <c r="O39" i="5"/>
  <c r="I35" i="7"/>
  <c r="I39" i="7" s="1"/>
  <c r="E35" i="1"/>
  <c r="E39" i="1"/>
  <c r="K33" i="4"/>
  <c r="K37" i="4" s="1"/>
  <c r="E35" i="7"/>
  <c r="E39" i="7"/>
  <c r="O33" i="3"/>
  <c r="O37" i="3" s="1"/>
  <c r="E25" i="8"/>
  <c r="E29" i="8"/>
  <c r="G25" i="8"/>
  <c r="G29" i="8" s="1"/>
  <c r="K33" i="3"/>
  <c r="K37" i="3"/>
  <c r="I25" i="8"/>
  <c r="I29" i="8" s="1"/>
</calcChain>
</file>

<file path=xl/sharedStrings.xml><?xml version="1.0" encoding="utf-8"?>
<sst xmlns="http://schemas.openxmlformats.org/spreadsheetml/2006/main" count="1026" uniqueCount="281">
  <si>
    <t>Córdoba,  12 de Marzo de 2024</t>
  </si>
  <si>
    <t>CONSTRUCCIONES SILICIO</t>
  </si>
  <si>
    <t>Obra: 30 viviendas</t>
  </si>
  <si>
    <t>Ubicación: San francisco</t>
  </si>
  <si>
    <t xml:space="preserve">Rubro: </t>
  </si>
  <si>
    <t>COMPARATIVA DE PRECIOS PEDIDO N° 1</t>
  </si>
  <si>
    <t>Designación</t>
  </si>
  <si>
    <t>Unid</t>
  </si>
  <si>
    <t>Cant</t>
  </si>
  <si>
    <t>SANIPLAST</t>
  </si>
  <si>
    <t xml:space="preserve">DE PLANO </t>
  </si>
  <si>
    <t>FERRETERÍA SAN FRANCISCO</t>
  </si>
  <si>
    <t>Mejor precio</t>
  </si>
  <si>
    <t>Unitario</t>
  </si>
  <si>
    <t>Total</t>
  </si>
  <si>
    <t>CAÑO 110 AWADUCT</t>
  </si>
  <si>
    <t xml:space="preserve">UN </t>
  </si>
  <si>
    <t>Subtotal-1</t>
  </si>
  <si>
    <t>Descuento</t>
  </si>
  <si>
    <t>Cotizacion Dólar/Peso</t>
  </si>
  <si>
    <t>Subtotal-2</t>
  </si>
  <si>
    <t xml:space="preserve">Cond. IVA </t>
  </si>
  <si>
    <t>otros impuestos</t>
  </si>
  <si>
    <t>TOTALES FINAL</t>
  </si>
  <si>
    <t>Observaciones:</t>
  </si>
  <si>
    <t>Córdoba,  20 de Marzo de 2024</t>
  </si>
  <si>
    <t>FERRETERÍA</t>
  </si>
  <si>
    <t>CUPLA RH 20 X 3/8 TUBOFUSION</t>
  </si>
  <si>
    <t xml:space="preserve">CUPLA RM 20 X 1/2 TUBOFUSION </t>
  </si>
  <si>
    <t>Córdoba, 26 de Febrero de 2024</t>
  </si>
  <si>
    <t xml:space="preserve">Rubro: ALBAÑILERÍA </t>
  </si>
  <si>
    <t>PASSAMONTE</t>
  </si>
  <si>
    <t>ROMANO</t>
  </si>
  <si>
    <t>MANSILLA</t>
  </si>
  <si>
    <t>CHIARAMONTE</t>
  </si>
  <si>
    <t>ZARATE</t>
  </si>
  <si>
    <t>ARENA GRUESA</t>
  </si>
  <si>
    <t>MT3</t>
  </si>
  <si>
    <t>CEMENTO</t>
  </si>
  <si>
    <t>BOLSA</t>
  </si>
  <si>
    <t>HERCAL</t>
  </si>
  <si>
    <t>LADRILLO CERAMICO 12</t>
  </si>
  <si>
    <t>PALET</t>
  </si>
  <si>
    <t>TARIMA</t>
  </si>
  <si>
    <t>ENTREGA</t>
  </si>
  <si>
    <t>FLETE</t>
  </si>
  <si>
    <t>un</t>
  </si>
  <si>
    <t>con tabique $1798272</t>
  </si>
  <si>
    <t>Córdoba, 5 de abril de 2024</t>
  </si>
  <si>
    <t>GARIN</t>
  </si>
  <si>
    <t>REX</t>
  </si>
  <si>
    <t>PINTERCORD</t>
  </si>
  <si>
    <t>GUARAPA</t>
  </si>
  <si>
    <t>SZUMIK</t>
  </si>
  <si>
    <t xml:space="preserve">PLAVICON </t>
  </si>
  <si>
    <t>Pintura techos sin fibra x 20lts</t>
  </si>
  <si>
    <t>PLAVICON</t>
  </si>
  <si>
    <t>TERSINOL</t>
  </si>
  <si>
    <t>CASABLANCA</t>
  </si>
  <si>
    <t>QUIMEX</t>
  </si>
  <si>
    <t>ALBA</t>
  </si>
  <si>
    <t>COLORIN</t>
  </si>
  <si>
    <t xml:space="preserve">Córdoba, </t>
  </si>
  <si>
    <t>Construccion Silicio SAS</t>
  </si>
  <si>
    <t>Obra: SAN FRANCISCO</t>
  </si>
  <si>
    <t>Ubicación: Córdoba Capital</t>
  </si>
  <si>
    <t xml:space="preserve"> </t>
  </si>
  <si>
    <t>Córdoba, 23 de Febrero de 2024</t>
  </si>
  <si>
    <t>Rubro: GAS</t>
  </si>
  <si>
    <t xml:space="preserve">TODO SANITARIOS </t>
  </si>
  <si>
    <t>DE PLANO</t>
  </si>
  <si>
    <t>TAPÓN 3/4</t>
  </si>
  <si>
    <t>UNID</t>
  </si>
  <si>
    <t>CODO 3/4</t>
  </si>
  <si>
    <t>BUJE DE REDUCCION 3/4 A 1/2</t>
  </si>
  <si>
    <t>Córdoba, 22 de marzo de 2024</t>
  </si>
  <si>
    <t xml:space="preserve">Rubro: SANITARIOS </t>
  </si>
  <si>
    <t xml:space="preserve">HURA </t>
  </si>
  <si>
    <t xml:space="preserve">ECO HOUSING </t>
  </si>
  <si>
    <t>GREEN LIFE</t>
  </si>
  <si>
    <t xml:space="preserve">HISSUMA SOLAR </t>
  </si>
  <si>
    <t>IMPERIO SOLAR</t>
  </si>
  <si>
    <t xml:space="preserve">Gastón </t>
  </si>
  <si>
    <t>POLAR</t>
  </si>
  <si>
    <t>Termotanque solar hissuma 150lts</t>
  </si>
  <si>
    <t xml:space="preserve">Resistencia </t>
  </si>
  <si>
    <t xml:space="preserve">Barra de magnesio </t>
  </si>
  <si>
    <t xml:space="preserve">Termotanque solar 150lts acero galv </t>
  </si>
  <si>
    <t xml:space="preserve">Termotanque Solar Premium EHI 150 L </t>
  </si>
  <si>
    <t>Instalacion</t>
  </si>
  <si>
    <t>Kit p/instalación</t>
  </si>
  <si>
    <t>Kit solar (resistencia 1500w, termostato y llave)</t>
  </si>
  <si>
    <t xml:space="preserve">Termotanque 100 lts barra de magnesio y soporte de venteo </t>
  </si>
  <si>
    <t>Valvula mezcladora</t>
  </si>
  <si>
    <t>Soporte</t>
  </si>
  <si>
    <t>Contempla resistencia y barra de magneso - CBA</t>
  </si>
  <si>
    <t>Córdoba, 10 de abril de 2024</t>
  </si>
  <si>
    <t>Rubro: CORRALON</t>
  </si>
  <si>
    <t>CONTACTO NICO</t>
  </si>
  <si>
    <t>CORMAC</t>
  </si>
  <si>
    <t>MERLINO</t>
  </si>
  <si>
    <t>4 palets de Hercal ,</t>
  </si>
  <si>
    <t>2 palets de cemento ,</t>
  </si>
  <si>
    <t>6 palets de ladrillo cerámico 18</t>
  </si>
  <si>
    <t>1 Flete a San Francisco</t>
  </si>
  <si>
    <t>Romano</t>
  </si>
  <si>
    <t>tubos. Macho de 20x 1/2"</t>
  </si>
  <si>
    <t xml:space="preserve"> flexible de 1/2" x 40 cm</t>
  </si>
  <si>
    <t>buje de reducción de 3/4 x 1/2 pp</t>
  </si>
  <si>
    <t xml:space="preserve">codo de 20 con inserto 1/2 </t>
  </si>
  <si>
    <t>ménsula de 20 x 50</t>
  </si>
  <si>
    <t>tapones de 1/2 pp</t>
  </si>
  <si>
    <t>cuplas de 50</t>
  </si>
  <si>
    <t xml:space="preserve">caños de 20 fusión </t>
  </si>
  <si>
    <t xml:space="preserve"> llave de 1/2 pp </t>
  </si>
  <si>
    <t xml:space="preserve">sellador idro3 grande </t>
  </si>
  <si>
    <t xml:space="preserve">brida de 1/2 </t>
  </si>
  <si>
    <t>cuplas de 110</t>
  </si>
  <si>
    <t xml:space="preserve">chicote de 1/2 de 40cm </t>
  </si>
  <si>
    <t>tornillos con taco para inodoro</t>
  </si>
  <si>
    <t>desolador para inodoro de 3 cm</t>
  </si>
  <si>
    <t xml:space="preserve">Masilla para artefactos </t>
  </si>
  <si>
    <t xml:space="preserve">pomo de silicona blanca </t>
  </si>
  <si>
    <t>tapón macho de 1/2 pp</t>
  </si>
  <si>
    <t>carretel porta tanza para desmalezadora</t>
  </si>
  <si>
    <t>rollo tanza para desmalezadora</t>
  </si>
  <si>
    <t xml:space="preserve">sifones común para cocina </t>
  </si>
  <si>
    <t xml:space="preserve">reducción de 50 a 40 </t>
  </si>
  <si>
    <t xml:space="preserve">teflón de alta densidad </t>
  </si>
  <si>
    <t>tubos hembra de 20 x 1/2"</t>
  </si>
  <si>
    <t>cotizo 9 flexibles met 1/2 x 40cm</t>
  </si>
  <si>
    <t>RAMAL SIMPLE DURATOP 45* MH 50MM</t>
  </si>
  <si>
    <t>CASA 2</t>
  </si>
  <si>
    <t>Boca de acceso para cocina</t>
  </si>
  <si>
    <t>CODO  90* HH 50MM</t>
  </si>
  <si>
    <t>CUPLA REDUCCION 50MMX40MM</t>
  </si>
  <si>
    <t>Cupla de 50MM</t>
  </si>
  <si>
    <t>CODO 45* MH 40MM</t>
  </si>
  <si>
    <t xml:space="preserve">SIFON SIMPLE COCINA </t>
  </si>
  <si>
    <t>CODO 90* 25MM</t>
  </si>
  <si>
    <t>VALVULA ESFERICA. LLP de 25</t>
  </si>
  <si>
    <t>CODO 90* 20MM</t>
  </si>
  <si>
    <t>Griferia para ducha</t>
  </si>
  <si>
    <t>TUBO R.HEMBRA 20MM X 1/2"</t>
  </si>
  <si>
    <t>TUBO R.MACHO 20MM X 1/2"</t>
  </si>
  <si>
    <t>BUJE REDUCCION 25MM X 20MM</t>
  </si>
  <si>
    <t>TUBO R.HEMBRA 25MM X 1/2"</t>
  </si>
  <si>
    <t>CUPLA DE  25MM</t>
  </si>
  <si>
    <t>DESCARGA DE 40 EXTENSIBLE</t>
  </si>
  <si>
    <t>FLEXIBLE 1/2X40CMS.</t>
  </si>
  <si>
    <t>Fecha: 17 de abril de 2024</t>
  </si>
  <si>
    <t>Rubro: corralon</t>
  </si>
  <si>
    <t>CASA 3</t>
  </si>
  <si>
    <t xml:space="preserve">Codo de 50 HH </t>
  </si>
  <si>
    <t>Ramal Y de 50</t>
  </si>
  <si>
    <t xml:space="preserve">Cupla de 50 </t>
  </si>
  <si>
    <t>Codo de 40 a 45° MH</t>
  </si>
  <si>
    <t>Cupla de 63</t>
  </si>
  <si>
    <t>Codo de 50 MH</t>
  </si>
  <si>
    <t>Buje reducción de 50x40</t>
  </si>
  <si>
    <t xml:space="preserve">Codo de 40 MH </t>
  </si>
  <si>
    <t xml:space="preserve">Sifón </t>
  </si>
  <si>
    <t>Llp con palanca de 25</t>
  </si>
  <si>
    <t>Union doble de 25</t>
  </si>
  <si>
    <t>Codo de 25</t>
  </si>
  <si>
    <t>Codo de 20</t>
  </si>
  <si>
    <t>Cupla de 25</t>
  </si>
  <si>
    <t>Llave de limpieza de tanque de 25</t>
  </si>
  <si>
    <t>Flotante de 1/2</t>
  </si>
  <si>
    <t>Tubo de 1/2 H x 20 fusion</t>
  </si>
  <si>
    <t>Tubo de 3/4 H x 20</t>
  </si>
  <si>
    <t>5 flexibles de 1/2 x 40cm</t>
  </si>
  <si>
    <t>Descarga de 40 extensible</t>
  </si>
  <si>
    <t>Desplazador de inodoro de 3cm</t>
  </si>
  <si>
    <t>Masilla para artefacto</t>
  </si>
  <si>
    <t>Silicona blanca</t>
  </si>
  <si>
    <t>Idro3 grande</t>
  </si>
  <si>
    <t>Cañamo</t>
  </si>
  <si>
    <t>Teflon de alta densidad</t>
  </si>
  <si>
    <t>Tapon M de 1/2 pp</t>
  </si>
  <si>
    <t>Buje reduccion de 3/4 M x 1/2 H</t>
  </si>
  <si>
    <t>Tornillo para artefacto con tarugo</t>
  </si>
  <si>
    <t>unid.</t>
  </si>
  <si>
    <t>Taco nylon N8(DE PLANO)(300)</t>
  </si>
  <si>
    <t>Córdoba, 17 de abril de 2024</t>
  </si>
  <si>
    <t>FERRETERIA</t>
  </si>
  <si>
    <t>Córdoba, 30 de abril de 2024</t>
  </si>
  <si>
    <t>Cemento</t>
  </si>
  <si>
    <t>Hercal</t>
  </si>
  <si>
    <t>Arena gruesa</t>
  </si>
  <si>
    <t>Portante del 12</t>
  </si>
  <si>
    <t>Ladrillo comun</t>
  </si>
  <si>
    <t>Portante del 18</t>
  </si>
  <si>
    <t>Flete</t>
  </si>
  <si>
    <t>FERROCONS</t>
  </si>
  <si>
    <t>PASAMONTE</t>
  </si>
  <si>
    <t>Córdoba, 15 de mayo de 2024</t>
  </si>
  <si>
    <t>Rubro: INSTALACION GAS</t>
  </si>
  <si>
    <t>4 pinceles</t>
  </si>
  <si>
    <t xml:space="preserve">1,5kg litargilio </t>
  </si>
  <si>
    <t xml:space="preserve">5lt thinner </t>
  </si>
  <si>
    <t xml:space="preserve">750gr glicerina </t>
  </si>
  <si>
    <t xml:space="preserve">5 siliconas transparentes </t>
  </si>
  <si>
    <t>1 disco widia 9”</t>
  </si>
  <si>
    <t xml:space="preserve">8lts pintura epoxi amarilla </t>
  </si>
  <si>
    <t>10 caños 1/2</t>
  </si>
  <si>
    <t>6 tapon 3/4</t>
  </si>
  <si>
    <t>54 codos 1/2</t>
  </si>
  <si>
    <t>10 llaves 3/4</t>
  </si>
  <si>
    <t>10 cuplas 1/2</t>
  </si>
  <si>
    <t>10 cuplas 3/4</t>
  </si>
  <si>
    <t>kg</t>
  </si>
  <si>
    <t>lts</t>
  </si>
  <si>
    <t>grs</t>
  </si>
  <si>
    <t>TODO SANITARIOS</t>
  </si>
  <si>
    <t>CEMENTO ---- 2 PALET</t>
  </si>
  <si>
    <t>HERCAL -----2 PALET</t>
  </si>
  <si>
    <t>PORTANTE 18--- 5 PALET</t>
  </si>
  <si>
    <t>FINA--- 2MTS</t>
  </si>
  <si>
    <t>GRUESA --- 5MTS</t>
  </si>
  <si>
    <t>PIEDRA 1-2 ---1MTS</t>
  </si>
  <si>
    <t>m3</t>
  </si>
  <si>
    <t>Portante 18 palmar</t>
  </si>
  <si>
    <t>Rubro: ALBAÑILERIA</t>
  </si>
  <si>
    <t>Córdoba, 16de mayo de 2024</t>
  </si>
  <si>
    <t>Rubro: SANITARIO</t>
  </si>
  <si>
    <t xml:space="preserve"> tapa fusión 20</t>
  </si>
  <si>
    <t xml:space="preserve"> cupla 20 a 5/8</t>
  </si>
  <si>
    <t>desplazador de 8cm para inodoro</t>
  </si>
  <si>
    <t xml:space="preserve">silicona aerosol </t>
  </si>
  <si>
    <t>cuplas 20MM</t>
  </si>
  <si>
    <t>codos 90° 20MM</t>
  </si>
  <si>
    <t>codos con inserto de 20MM a 1/2</t>
  </si>
  <si>
    <t xml:space="preserve"> tapon PP 1/2"</t>
  </si>
  <si>
    <t xml:space="preserve"> tubo macho 20MMx1/2"</t>
  </si>
  <si>
    <t xml:space="preserve"> tubo inserto H de 1/2 a 5/8</t>
  </si>
  <si>
    <t>ramal Y  40MM duratop</t>
  </si>
  <si>
    <t xml:space="preserve">cuplas 40MM duratop </t>
  </si>
  <si>
    <t xml:space="preserve">caños 110MM duratop </t>
  </si>
  <si>
    <t xml:space="preserve">cuplas 63MM duratop </t>
  </si>
  <si>
    <t xml:space="preserve">curva a 45 HH de 63MM duratop </t>
  </si>
  <si>
    <t xml:space="preserve">codos MH 40MM duratop </t>
  </si>
  <si>
    <t>tapa hembra PVC 40MM</t>
  </si>
  <si>
    <t>tapa hembra PVC 110MM</t>
  </si>
  <si>
    <t xml:space="preserve">Curva a 45 MH de 40MM duratop </t>
  </si>
  <si>
    <t>curva a 45 HH de 110MM duratop</t>
  </si>
  <si>
    <t xml:space="preserve">curva a 45 MH de 110MM duratop </t>
  </si>
  <si>
    <t xml:space="preserve">codo con acometida 110MMx63MM duratop </t>
  </si>
  <si>
    <t>curva a 45 HH de 40MM duratop</t>
  </si>
  <si>
    <t>HURA</t>
  </si>
  <si>
    <t>Córdoba, 31 de mayo de 2024</t>
  </si>
  <si>
    <t>3 palet hercal</t>
  </si>
  <si>
    <t>2 palet cemento</t>
  </si>
  <si>
    <t>2 m3 piedra 1-2</t>
  </si>
  <si>
    <t>17 m3 gruesa</t>
  </si>
  <si>
    <t>5 m3 fina</t>
  </si>
  <si>
    <t>5 palet portante 12</t>
  </si>
  <si>
    <t>1 puerta Durlock izquierda</t>
  </si>
  <si>
    <t>1 plavicon</t>
  </si>
  <si>
    <t>1 pintura asfáltica x18lts</t>
  </si>
  <si>
    <t>5 litros ligante</t>
  </si>
  <si>
    <t>30 ladrillos comunes</t>
  </si>
  <si>
    <t>4 viguetas 2.2</t>
  </si>
  <si>
    <t>Córdoba, 24 de Julio de 2024</t>
  </si>
  <si>
    <t>Rubro: SANITARIOS</t>
  </si>
  <si>
    <t>Aros para pozo negro</t>
  </si>
  <si>
    <t>Tapas para pozo negro</t>
  </si>
  <si>
    <t>Córdoba, 24 de julio de 2024</t>
  </si>
  <si>
    <t>- 100m de subterráneo 3x2.50mm</t>
  </si>
  <si>
    <t>- 7 Disyuntores 32 para tablero</t>
  </si>
  <si>
    <t>- 27 Lamparas bajo consumo</t>
  </si>
  <si>
    <t>- 45 Portalamparas de techo con florón</t>
  </si>
  <si>
    <t>- 18 Portalamparas de pared con florón para exterior</t>
  </si>
  <si>
    <t>- 4 Tablero para medidor</t>
  </si>
  <si>
    <t>- 20 cajas hexagonal</t>
  </si>
  <si>
    <t>mts</t>
  </si>
  <si>
    <t>LCI</t>
  </si>
  <si>
    <t>FEYRO</t>
  </si>
  <si>
    <t>POLO POSITIVO</t>
  </si>
  <si>
    <t>EME</t>
  </si>
  <si>
    <t>Rubro: ELECTRICIDAD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</si>
</sst>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* #,##0_-;\-* #,##0_-;_-* &quot;-&quot;??_-;_-@"/>
    <numFmt numFmtId="165" formatCode="[$$-2C0A]\ #,##0.00"/>
    <numFmt numFmtId="166" formatCode="_-&quot;$&quot;\ * #,##0.00_-;\-&quot;$&quot;\ * #,##0.00_-;_-&quot;$&quot;\ * &quot;-&quot;??_-;_-@"/>
    <numFmt numFmtId="167" formatCode="_(&quot;$&quot;* #,##0.00_);_(&quot;$&quot;* \(#,##0.00\);_(&quot;$&quot;* &quot;-&quot;??_);_(@_)"/>
  </numFmts>
  <fonts count="17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332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5" fontId="5" fillId="2" borderId="9" xfId="0" applyNumberFormat="1" applyFont="1" applyFill="1" applyBorder="1" applyAlignment="1">
      <alignment horizontal="center" vertical="center" wrapText="1"/>
    </xf>
    <xf numFmtId="165" fontId="5" fillId="2" borderId="10" xfId="0" applyNumberFormat="1" applyFont="1" applyFill="1" applyBorder="1" applyAlignment="1">
      <alignment horizontal="center" vertical="center" wrapText="1"/>
    </xf>
    <xf numFmtId="165" fontId="5" fillId="2" borderId="11" xfId="0" applyNumberFormat="1" applyFont="1" applyFill="1" applyBorder="1" applyAlignment="1">
      <alignment horizontal="center" vertical="center" wrapText="1"/>
    </xf>
    <xf numFmtId="4" fontId="6" fillId="0" borderId="12" xfId="0" applyNumberFormat="1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166" fontId="8" fillId="0" borderId="9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 vertical="center"/>
    </xf>
    <xf numFmtId="166" fontId="9" fillId="3" borderId="9" xfId="0" applyNumberFormat="1" applyFont="1" applyFill="1" applyBorder="1" applyAlignment="1">
      <alignment horizontal="center" vertical="center"/>
    </xf>
    <xf numFmtId="166" fontId="9" fillId="3" borderId="11" xfId="0" applyNumberFormat="1" applyFont="1" applyFill="1" applyBorder="1" applyAlignment="1">
      <alignment horizontal="center" vertical="center"/>
    </xf>
    <xf numFmtId="166" fontId="3" fillId="0" borderId="0" xfId="0" applyNumberFormat="1" applyFont="1"/>
    <xf numFmtId="10" fontId="3" fillId="0" borderId="0" xfId="0" applyNumberFormat="1" applyFont="1"/>
    <xf numFmtId="166" fontId="8" fillId="4" borderId="9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top"/>
    </xf>
    <xf numFmtId="4" fontId="6" fillId="0" borderId="13" xfId="0" applyNumberFormat="1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top"/>
    </xf>
    <xf numFmtId="2" fontId="7" fillId="0" borderId="13" xfId="0" applyNumberFormat="1" applyFont="1" applyBorder="1" applyAlignment="1">
      <alignment horizontal="center" vertical="center"/>
    </xf>
    <xf numFmtId="166" fontId="8" fillId="0" borderId="14" xfId="0" applyNumberFormat="1" applyFont="1" applyBorder="1" applyAlignment="1">
      <alignment horizontal="center" vertical="center"/>
    </xf>
    <xf numFmtId="166" fontId="8" fillId="0" borderId="15" xfId="0" applyNumberFormat="1" applyFont="1" applyBorder="1" applyAlignment="1">
      <alignment horizontal="center" vertical="center"/>
    </xf>
    <xf numFmtId="166" fontId="8" fillId="4" borderId="14" xfId="0" applyNumberFormat="1" applyFont="1" applyFill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center"/>
    </xf>
    <xf numFmtId="166" fontId="9" fillId="3" borderId="14" xfId="0" applyNumberFormat="1" applyFont="1" applyFill="1" applyBorder="1" applyAlignment="1">
      <alignment horizontal="center" vertical="center"/>
    </xf>
    <xf numFmtId="166" fontId="9" fillId="3" borderId="16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9" fontId="3" fillId="0" borderId="17" xfId="0" applyNumberFormat="1" applyFont="1" applyBorder="1" applyAlignment="1">
      <alignment horizontal="center" vertical="center"/>
    </xf>
    <xf numFmtId="166" fontId="3" fillId="0" borderId="20" xfId="0" applyNumberFormat="1" applyFont="1" applyBorder="1" applyAlignment="1">
      <alignment horizontal="center" vertical="center"/>
    </xf>
    <xf numFmtId="166" fontId="3" fillId="0" borderId="21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10" fontId="3" fillId="0" borderId="23" xfId="0" applyNumberFormat="1" applyFont="1" applyBorder="1" applyAlignment="1">
      <alignment horizontal="center" vertical="center"/>
    </xf>
    <xf numFmtId="166" fontId="3" fillId="0" borderId="24" xfId="0" applyNumberFormat="1" applyFont="1" applyBorder="1" applyAlignment="1">
      <alignment horizontal="center" vertical="center"/>
    </xf>
    <xf numFmtId="166" fontId="3" fillId="0" borderId="25" xfId="0" applyNumberFormat="1" applyFont="1" applyBorder="1" applyAlignment="1">
      <alignment horizontal="center" vertical="center"/>
    </xf>
    <xf numFmtId="166" fontId="3" fillId="0" borderId="2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166" fontId="1" fillId="0" borderId="9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/>
    </xf>
    <xf numFmtId="9" fontId="1" fillId="0" borderId="3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center" vertical="center"/>
    </xf>
    <xf numFmtId="166" fontId="1" fillId="0" borderId="3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9" fontId="1" fillId="0" borderId="14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6" fontId="1" fillId="0" borderId="14" xfId="0" applyNumberFormat="1" applyFont="1" applyBorder="1" applyAlignment="1">
      <alignment horizontal="center" vertical="center"/>
    </xf>
    <xf numFmtId="166" fontId="1" fillId="0" borderId="15" xfId="0" applyNumberFormat="1" applyFon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166" fontId="1" fillId="0" borderId="34" xfId="0" applyNumberFormat="1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0" fontId="5" fillId="3" borderId="17" xfId="0" applyFont="1" applyFill="1" applyBorder="1" applyAlignment="1">
      <alignment horizontal="left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165" fontId="5" fillId="3" borderId="17" xfId="0" applyNumberFormat="1" applyFont="1" applyFill="1" applyBorder="1" applyAlignment="1">
      <alignment horizontal="center" vertical="center"/>
    </xf>
    <xf numFmtId="166" fontId="5" fillId="3" borderId="20" xfId="0" applyNumberFormat="1" applyFont="1" applyFill="1" applyBorder="1" applyAlignment="1">
      <alignment horizontal="center" vertical="center"/>
    </xf>
    <xf numFmtId="166" fontId="5" fillId="3" borderId="39" xfId="0" applyNumberFormat="1" applyFont="1" applyFill="1" applyBorder="1" applyAlignment="1">
      <alignment horizontal="center" vertical="center"/>
    </xf>
    <xf numFmtId="167" fontId="5" fillId="3" borderId="20" xfId="0" applyNumberFormat="1" applyFont="1" applyFill="1" applyBorder="1" applyAlignment="1">
      <alignment horizontal="center" vertical="center"/>
    </xf>
    <xf numFmtId="0" fontId="1" fillId="0" borderId="40" xfId="0" applyFont="1" applyBorder="1" applyAlignment="1">
      <alignment horizontal="left" vertical="center"/>
    </xf>
    <xf numFmtId="0" fontId="3" fillId="0" borderId="0" xfId="0" applyFont="1"/>
    <xf numFmtId="165" fontId="5" fillId="2" borderId="14" xfId="0" applyNumberFormat="1" applyFont="1" applyFill="1" applyBorder="1" applyAlignment="1">
      <alignment horizontal="center" vertical="center" wrapText="1"/>
    </xf>
    <xf numFmtId="165" fontId="5" fillId="2" borderId="46" xfId="0" applyNumberFormat="1" applyFont="1" applyFill="1" applyBorder="1" applyAlignment="1">
      <alignment horizontal="center" vertical="center" wrapText="1"/>
    </xf>
    <xf numFmtId="165" fontId="5" fillId="2" borderId="16" xfId="0" applyNumberFormat="1" applyFont="1" applyFill="1" applyBorder="1" applyAlignment="1">
      <alignment horizontal="center" vertical="center" wrapText="1"/>
    </xf>
    <xf numFmtId="165" fontId="5" fillId="2" borderId="47" xfId="0" applyNumberFormat="1" applyFont="1" applyFill="1" applyBorder="1" applyAlignment="1">
      <alignment horizontal="center" vertical="center" wrapText="1"/>
    </xf>
    <xf numFmtId="4" fontId="6" fillId="0" borderId="8" xfId="0" applyNumberFormat="1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166" fontId="8" fillId="0" borderId="48" xfId="0" applyNumberFormat="1" applyFont="1" applyBorder="1" applyAlignment="1">
      <alignment horizontal="center" vertical="center"/>
    </xf>
    <xf numFmtId="166" fontId="8" fillId="0" borderId="49" xfId="0" applyNumberFormat="1" applyFont="1" applyBorder="1" applyAlignment="1">
      <alignment horizontal="center" vertical="center"/>
    </xf>
    <xf numFmtId="166" fontId="8" fillId="0" borderId="50" xfId="0" applyNumberFormat="1" applyFont="1" applyBorder="1" applyAlignment="1">
      <alignment horizontal="center" vertical="center"/>
    </xf>
    <xf numFmtId="166" fontId="9" fillId="3" borderId="51" xfId="0" applyNumberFormat="1" applyFont="1" applyFill="1" applyBorder="1" applyAlignment="1">
      <alignment horizontal="center" vertical="center"/>
    </xf>
    <xf numFmtId="166" fontId="9" fillId="3" borderId="52" xfId="0" applyNumberFormat="1" applyFont="1" applyFill="1" applyBorder="1" applyAlignment="1">
      <alignment horizontal="center" vertical="center"/>
    </xf>
    <xf numFmtId="166" fontId="9" fillId="3" borderId="53" xfId="0" applyNumberFormat="1" applyFont="1" applyFill="1" applyBorder="1" applyAlignment="1">
      <alignment horizontal="center" vertical="center"/>
    </xf>
    <xf numFmtId="166" fontId="3" fillId="0" borderId="23" xfId="0" applyNumberFormat="1" applyFont="1" applyBorder="1" applyAlignment="1">
      <alignment horizontal="center" vertical="center"/>
    </xf>
    <xf numFmtId="165" fontId="5" fillId="5" borderId="56" xfId="0" applyNumberFormat="1" applyFont="1" applyFill="1" applyBorder="1" applyAlignment="1">
      <alignment horizontal="center" vertical="center" wrapText="1"/>
    </xf>
    <xf numFmtId="165" fontId="5" fillId="5" borderId="16" xfId="0" applyNumberFormat="1" applyFont="1" applyFill="1" applyBorder="1" applyAlignment="1">
      <alignment horizontal="center" vertical="center" wrapText="1"/>
    </xf>
    <xf numFmtId="165" fontId="5" fillId="5" borderId="14" xfId="0" applyNumberFormat="1" applyFont="1" applyFill="1" applyBorder="1" applyAlignment="1">
      <alignment horizontal="center" vertical="center" wrapText="1"/>
    </xf>
    <xf numFmtId="165" fontId="5" fillId="5" borderId="47" xfId="0" applyNumberFormat="1" applyFont="1" applyFill="1" applyBorder="1" applyAlignment="1">
      <alignment horizontal="center" vertical="center" wrapText="1"/>
    </xf>
    <xf numFmtId="4" fontId="6" fillId="0" borderId="27" xfId="0" applyNumberFormat="1" applyFont="1" applyBorder="1" applyAlignment="1">
      <alignment horizontal="left" vertical="center" wrapText="1"/>
    </xf>
    <xf numFmtId="167" fontId="7" fillId="0" borderId="3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67" fontId="7" fillId="0" borderId="9" xfId="0" applyNumberFormat="1" applyFont="1" applyBorder="1" applyAlignment="1">
      <alignment horizontal="center" vertical="center"/>
    </xf>
    <xf numFmtId="167" fontId="8" fillId="4" borderId="11" xfId="0" applyNumberFormat="1" applyFont="1" applyFill="1" applyBorder="1" applyAlignment="1">
      <alignment horizontal="center" vertical="center"/>
    </xf>
    <xf numFmtId="167" fontId="8" fillId="4" borderId="10" xfId="0" applyNumberFormat="1" applyFont="1" applyFill="1" applyBorder="1" applyAlignment="1">
      <alignment horizontal="center" vertical="center"/>
    </xf>
    <xf numFmtId="167" fontId="9" fillId="4" borderId="9" xfId="0" applyNumberFormat="1" applyFont="1" applyFill="1" applyBorder="1" applyAlignment="1">
      <alignment horizontal="center" vertical="center"/>
    </xf>
    <xf numFmtId="167" fontId="9" fillId="5" borderId="1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 wrapText="1"/>
    </xf>
    <xf numFmtId="0" fontId="3" fillId="0" borderId="27" xfId="0" applyFont="1" applyBorder="1"/>
    <xf numFmtId="0" fontId="3" fillId="0" borderId="12" xfId="0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" xfId="0" applyFont="1" applyBorder="1"/>
    <xf numFmtId="0" fontId="3" fillId="5" borderId="11" xfId="0" applyFont="1" applyFill="1" applyBorder="1"/>
    <xf numFmtId="4" fontId="6" fillId="0" borderId="34" xfId="0" applyNumberFormat="1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167" fontId="7" fillId="0" borderId="36" xfId="0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167" fontId="7" fillId="0" borderId="14" xfId="0" applyNumberFormat="1" applyFont="1" applyBorder="1" applyAlignment="1">
      <alignment horizontal="center" vertical="center"/>
    </xf>
    <xf numFmtId="167" fontId="8" fillId="4" borderId="16" xfId="0" applyNumberFormat="1" applyFont="1" applyFill="1" applyBorder="1" applyAlignment="1">
      <alignment horizontal="center" vertical="center"/>
    </xf>
    <xf numFmtId="167" fontId="8" fillId="4" borderId="47" xfId="0" applyNumberFormat="1" applyFont="1" applyFill="1" applyBorder="1" applyAlignment="1">
      <alignment horizontal="center" vertical="center"/>
    </xf>
    <xf numFmtId="167" fontId="9" fillId="4" borderId="14" xfId="0" applyNumberFormat="1" applyFont="1" applyFill="1" applyBorder="1" applyAlignment="1">
      <alignment horizontal="center" vertical="center"/>
    </xf>
    <xf numFmtId="167" fontId="9" fillId="5" borderId="16" xfId="0" applyNumberFormat="1" applyFont="1" applyFill="1" applyBorder="1" applyAlignment="1">
      <alignment horizontal="center" vertical="center"/>
    </xf>
    <xf numFmtId="167" fontId="3" fillId="0" borderId="17" xfId="0" applyNumberFormat="1" applyFont="1" applyBorder="1" applyAlignment="1">
      <alignment horizontal="center" vertical="center"/>
    </xf>
    <xf numFmtId="167" fontId="3" fillId="0" borderId="18" xfId="0" applyNumberFormat="1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3" fillId="0" borderId="23" xfId="0" applyNumberFormat="1" applyFont="1" applyBorder="1" applyAlignment="1">
      <alignment horizontal="center" vertical="center"/>
    </xf>
    <xf numFmtId="167" fontId="3" fillId="0" borderId="24" xfId="0" applyNumberFormat="1" applyFont="1" applyBorder="1" applyAlignment="1">
      <alignment horizontal="center" vertical="center"/>
    </xf>
    <xf numFmtId="167" fontId="3" fillId="0" borderId="25" xfId="0" applyNumberFormat="1" applyFont="1" applyBorder="1" applyAlignment="1">
      <alignment horizontal="center" vertical="center"/>
    </xf>
    <xf numFmtId="167" fontId="3" fillId="0" borderId="26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3" xfId="0" applyNumberFormat="1" applyFont="1" applyBorder="1" applyAlignment="1">
      <alignment horizontal="center" vertical="center"/>
    </xf>
    <xf numFmtId="167" fontId="1" fillId="0" borderId="30" xfId="0" applyNumberFormat="1" applyFont="1" applyBorder="1" applyAlignment="1">
      <alignment horizontal="center" vertical="center"/>
    </xf>
    <xf numFmtId="167" fontId="1" fillId="0" borderId="32" xfId="0" applyNumberFormat="1" applyFont="1" applyBorder="1" applyAlignment="1">
      <alignment horizontal="center" vertical="center"/>
    </xf>
    <xf numFmtId="167" fontId="1" fillId="0" borderId="31" xfId="0" applyNumberFormat="1" applyFont="1" applyBorder="1" applyAlignment="1">
      <alignment horizontal="center" vertical="center"/>
    </xf>
    <xf numFmtId="167" fontId="1" fillId="0" borderId="33" xfId="0" applyNumberFormat="1" applyFont="1" applyBorder="1" applyAlignment="1">
      <alignment horizontal="center" vertical="center"/>
    </xf>
    <xf numFmtId="167" fontId="1" fillId="0" borderId="14" xfId="0" applyNumberFormat="1" applyFont="1" applyBorder="1" applyAlignment="1">
      <alignment horizontal="center" vertical="center"/>
    </xf>
    <xf numFmtId="167" fontId="1" fillId="0" borderId="15" xfId="0" applyNumberFormat="1" applyFont="1" applyBorder="1" applyAlignment="1">
      <alignment horizontal="center" vertical="center"/>
    </xf>
    <xf numFmtId="167" fontId="1" fillId="0" borderId="16" xfId="0" applyNumberFormat="1" applyFont="1" applyBorder="1" applyAlignment="1">
      <alignment horizontal="center" vertical="center"/>
    </xf>
    <xf numFmtId="167" fontId="1" fillId="0" borderId="36" xfId="0" applyNumberFormat="1" applyFont="1" applyBorder="1" applyAlignment="1">
      <alignment horizontal="center" vertical="center"/>
    </xf>
    <xf numFmtId="167" fontId="5" fillId="3" borderId="20" xfId="0" applyNumberFormat="1" applyFont="1" applyFill="1" applyBorder="1" applyAlignment="1">
      <alignment horizontal="left" vertical="center"/>
    </xf>
    <xf numFmtId="167" fontId="5" fillId="3" borderId="17" xfId="0" applyNumberFormat="1" applyFont="1" applyFill="1" applyBorder="1" applyAlignment="1">
      <alignment horizontal="left" vertical="center"/>
    </xf>
    <xf numFmtId="167" fontId="5" fillId="2" borderId="57" xfId="0" applyNumberFormat="1" applyFont="1" applyFill="1" applyBorder="1" applyAlignment="1">
      <alignment vertical="center" wrapText="1"/>
    </xf>
    <xf numFmtId="165" fontId="5" fillId="2" borderId="59" xfId="0" applyNumberFormat="1" applyFont="1" applyFill="1" applyBorder="1" applyAlignment="1">
      <alignment horizontal="center" vertical="center" wrapText="1"/>
    </xf>
    <xf numFmtId="2" fontId="7" fillId="0" borderId="27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166" fontId="9" fillId="3" borderId="59" xfId="0" applyNumberFormat="1" applyFont="1" applyFill="1" applyBorder="1" applyAlignment="1">
      <alignment horizontal="center" vertical="center"/>
    </xf>
    <xf numFmtId="166" fontId="8" fillId="4" borderId="59" xfId="0" applyNumberFormat="1" applyFont="1" applyFill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166" fontId="8" fillId="4" borderId="56" xfId="0" applyNumberFormat="1" applyFont="1" applyFill="1" applyBorder="1" applyAlignment="1">
      <alignment horizontal="center" vertical="center"/>
    </xf>
    <xf numFmtId="166" fontId="9" fillId="3" borderId="56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left" vertical="top"/>
    </xf>
    <xf numFmtId="165" fontId="5" fillId="2" borderId="51" xfId="0" applyNumberFormat="1" applyFont="1" applyFill="1" applyBorder="1" applyAlignment="1">
      <alignment horizontal="center" vertical="center" wrapText="1"/>
    </xf>
    <xf numFmtId="165" fontId="5" fillId="2" borderId="52" xfId="0" applyNumberFormat="1" applyFont="1" applyFill="1" applyBorder="1" applyAlignment="1">
      <alignment horizontal="center" vertical="center" wrapText="1"/>
    </xf>
    <xf numFmtId="165" fontId="5" fillId="2" borderId="61" xfId="0" applyNumberFormat="1" applyFont="1" applyFill="1" applyBorder="1" applyAlignment="1">
      <alignment horizontal="center" vertical="center" wrapText="1"/>
    </xf>
    <xf numFmtId="165" fontId="5" fillId="2" borderId="62" xfId="0" applyNumberFormat="1" applyFont="1" applyFill="1" applyBorder="1" applyAlignment="1">
      <alignment horizontal="center" vertical="center" wrapText="1"/>
    </xf>
    <xf numFmtId="166" fontId="8" fillId="0" borderId="23" xfId="0" applyNumberFormat="1" applyFont="1" applyBorder="1" applyAlignment="1">
      <alignment horizontal="center" vertical="center"/>
    </xf>
    <xf numFmtId="166" fontId="8" fillId="0" borderId="25" xfId="0" applyNumberFormat="1" applyFont="1" applyBorder="1" applyAlignment="1">
      <alignment horizontal="center" vertical="center"/>
    </xf>
    <xf numFmtId="166" fontId="9" fillId="3" borderId="63" xfId="0" applyNumberFormat="1" applyFont="1" applyFill="1" applyBorder="1" applyAlignment="1">
      <alignment horizontal="center" vertical="center"/>
    </xf>
    <xf numFmtId="166" fontId="5" fillId="3" borderId="64" xfId="0" applyNumberFormat="1" applyFont="1" applyFill="1" applyBorder="1" applyAlignment="1">
      <alignment horizontal="center" vertical="center"/>
    </xf>
    <xf numFmtId="0" fontId="1" fillId="0" borderId="44" xfId="0" applyFont="1" applyBorder="1" applyAlignment="1">
      <alignment horizontal="left" vertical="center"/>
    </xf>
    <xf numFmtId="0" fontId="10" fillId="0" borderId="0" xfId="0" applyFont="1"/>
    <xf numFmtId="167" fontId="7" fillId="0" borderId="9" xfId="0" applyNumberFormat="1" applyFont="1" applyBorder="1" applyAlignment="1">
      <alignment horizontal="center" vertical="center"/>
    </xf>
    <xf numFmtId="9" fontId="3" fillId="0" borderId="21" xfId="0" applyNumberFormat="1" applyFont="1" applyBorder="1" applyAlignment="1">
      <alignment horizontal="center" vertical="center"/>
    </xf>
    <xf numFmtId="10" fontId="3" fillId="0" borderId="54" xfId="0" applyNumberFormat="1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167" fontId="1" fillId="0" borderId="68" xfId="0" applyNumberFormat="1" applyFont="1" applyBorder="1" applyAlignment="1">
      <alignment horizontal="center" vertical="center"/>
    </xf>
    <xf numFmtId="167" fontId="1" fillId="0" borderId="69" xfId="0" applyNumberFormat="1" applyFont="1" applyBorder="1" applyAlignment="1">
      <alignment horizontal="center" vertical="center"/>
    </xf>
    <xf numFmtId="167" fontId="5" fillId="3" borderId="21" xfId="0" applyNumberFormat="1" applyFont="1" applyFill="1" applyBorder="1" applyAlignment="1">
      <alignment horizontal="left" vertical="center"/>
    </xf>
    <xf numFmtId="16" fontId="1" fillId="0" borderId="40" xfId="0" applyNumberFormat="1" applyFont="1" applyBorder="1" applyAlignment="1">
      <alignment horizontal="center" vertical="center" wrapText="1"/>
    </xf>
    <xf numFmtId="0" fontId="0" fillId="0" borderId="0" xfId="0" applyFont="1" applyAlignment="1"/>
    <xf numFmtId="4" fontId="6" fillId="0" borderId="70" xfId="0" applyNumberFormat="1" applyFont="1" applyBorder="1" applyAlignment="1">
      <alignment horizontal="left" vertical="center" wrapText="1"/>
    </xf>
    <xf numFmtId="2" fontId="7" fillId="0" borderId="29" xfId="0" applyNumberFormat="1" applyFont="1" applyBorder="1" applyAlignment="1">
      <alignment horizontal="center" vertical="center"/>
    </xf>
    <xf numFmtId="167" fontId="7" fillId="0" borderId="33" xfId="0" applyNumberFormat="1" applyFont="1" applyBorder="1" applyAlignment="1">
      <alignment horizontal="center" vertical="center"/>
    </xf>
    <xf numFmtId="167" fontId="8" fillId="0" borderId="31" xfId="0" applyNumberFormat="1" applyFont="1" applyBorder="1" applyAlignment="1">
      <alignment horizontal="center" vertical="center"/>
    </xf>
    <xf numFmtId="167" fontId="7" fillId="0" borderId="30" xfId="0" applyNumberFormat="1" applyFont="1" applyBorder="1" applyAlignment="1">
      <alignment horizontal="center" vertical="center"/>
    </xf>
    <xf numFmtId="167" fontId="8" fillId="4" borderId="31" xfId="0" applyNumberFormat="1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9" fillId="4" borderId="30" xfId="0" applyNumberFormat="1" applyFont="1" applyFill="1" applyBorder="1" applyAlignment="1">
      <alignment horizontal="center" vertical="center"/>
    </xf>
    <xf numFmtId="167" fontId="9" fillId="5" borderId="31" xfId="0" applyNumberFormat="1" applyFont="1" applyFill="1" applyBorder="1" applyAlignment="1">
      <alignment horizontal="center" vertical="center"/>
    </xf>
    <xf numFmtId="0" fontId="4" fillId="0" borderId="71" xfId="0" applyFont="1" applyBorder="1"/>
    <xf numFmtId="165" fontId="5" fillId="5" borderId="30" xfId="0" applyNumberFormat="1" applyFont="1" applyFill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left" vertical="center" wrapText="1"/>
    </xf>
    <xf numFmtId="4" fontId="11" fillId="0" borderId="27" xfId="0" applyNumberFormat="1" applyFont="1" applyBorder="1" applyAlignment="1">
      <alignment horizontal="left" vertical="center" wrapText="1"/>
    </xf>
    <xf numFmtId="0" fontId="13" fillId="0" borderId="71" xfId="0" applyFont="1" applyBorder="1"/>
    <xf numFmtId="0" fontId="14" fillId="0" borderId="27" xfId="0" applyFont="1" applyBorder="1"/>
    <xf numFmtId="4" fontId="11" fillId="0" borderId="34" xfId="0" applyNumberFormat="1" applyFont="1" applyBorder="1" applyAlignment="1">
      <alignment horizontal="left" vertical="center" wrapText="1"/>
    </xf>
    <xf numFmtId="0" fontId="1" fillId="6" borderId="0" xfId="0" applyFont="1" applyFill="1" applyAlignment="1">
      <alignment horizontal="left" vertical="top"/>
    </xf>
    <xf numFmtId="165" fontId="5" fillId="7" borderId="33" xfId="0" applyNumberFormat="1" applyFont="1" applyFill="1" applyBorder="1" applyAlignment="1">
      <alignment horizontal="center" vertical="center" wrapText="1"/>
    </xf>
    <xf numFmtId="165" fontId="5" fillId="7" borderId="30" xfId="0" applyNumberFormat="1" applyFont="1" applyFill="1" applyBorder="1" applyAlignment="1">
      <alignment horizontal="center" vertical="center" wrapText="1"/>
    </xf>
    <xf numFmtId="167" fontId="9" fillId="7" borderId="11" xfId="0" applyNumberFormat="1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left" vertical="center"/>
    </xf>
    <xf numFmtId="0" fontId="5" fillId="8" borderId="37" xfId="0" applyFont="1" applyFill="1" applyBorder="1" applyAlignment="1">
      <alignment horizontal="center" vertical="center"/>
    </xf>
    <xf numFmtId="0" fontId="5" fillId="8" borderId="38" xfId="0" applyFont="1" applyFill="1" applyBorder="1" applyAlignment="1">
      <alignment horizontal="center" vertical="center"/>
    </xf>
    <xf numFmtId="165" fontId="5" fillId="8" borderId="17" xfId="0" applyNumberFormat="1" applyFont="1" applyFill="1" applyBorder="1" applyAlignment="1">
      <alignment horizontal="center" vertical="center"/>
    </xf>
    <xf numFmtId="167" fontId="5" fillId="8" borderId="20" xfId="0" applyNumberFormat="1" applyFont="1" applyFill="1" applyBorder="1" applyAlignment="1">
      <alignment horizontal="left" vertical="center"/>
    </xf>
    <xf numFmtId="167" fontId="5" fillId="8" borderId="17" xfId="0" applyNumberFormat="1" applyFont="1" applyFill="1" applyBorder="1" applyAlignment="1">
      <alignment horizontal="left" vertical="center"/>
    </xf>
    <xf numFmtId="167" fontId="5" fillId="8" borderId="21" xfId="0" applyNumberFormat="1" applyFont="1" applyFill="1" applyBorder="1" applyAlignment="1">
      <alignment horizontal="left" vertical="center"/>
    </xf>
    <xf numFmtId="167" fontId="5" fillId="8" borderId="20" xfId="0" applyNumberFormat="1" applyFont="1" applyFill="1" applyBorder="1" applyAlignment="1">
      <alignment horizontal="center" vertical="center"/>
    </xf>
    <xf numFmtId="165" fontId="15" fillId="7" borderId="33" xfId="0" applyNumberFormat="1" applyFont="1" applyFill="1" applyBorder="1" applyAlignment="1">
      <alignment horizontal="center" vertical="center" wrapText="1"/>
    </xf>
    <xf numFmtId="167" fontId="8" fillId="9" borderId="11" xfId="0" applyNumberFormat="1" applyFont="1" applyFill="1" applyBorder="1" applyAlignment="1">
      <alignment horizontal="center" vertical="center"/>
    </xf>
    <xf numFmtId="167" fontId="7" fillId="9" borderId="9" xfId="0" applyNumberFormat="1" applyFont="1" applyFill="1" applyBorder="1" applyAlignment="1">
      <alignment horizontal="center" vertical="center"/>
    </xf>
    <xf numFmtId="167" fontId="7" fillId="9" borderId="3" xfId="0" applyNumberFormat="1" applyFont="1" applyFill="1" applyBorder="1" applyAlignment="1">
      <alignment horizontal="center" vertical="center"/>
    </xf>
    <xf numFmtId="167" fontId="7" fillId="9" borderId="59" xfId="0" applyNumberFormat="1" applyFont="1" applyFill="1" applyBorder="1" applyAlignment="1">
      <alignment horizontal="center" vertical="center"/>
    </xf>
    <xf numFmtId="0" fontId="3" fillId="9" borderId="9" xfId="0" applyFont="1" applyFill="1" applyBorder="1"/>
    <xf numFmtId="0" fontId="3" fillId="9" borderId="3" xfId="0" applyFont="1" applyFill="1" applyBorder="1"/>
    <xf numFmtId="0" fontId="0" fillId="0" borderId="0" xfId="0" applyFont="1" applyAlignment="1"/>
    <xf numFmtId="165" fontId="5" fillId="0" borderId="33" xfId="0" applyNumberFormat="1" applyFont="1" applyFill="1" applyBorder="1" applyAlignment="1">
      <alignment horizontal="center" vertical="center" wrapText="1"/>
    </xf>
    <xf numFmtId="0" fontId="4" fillId="0" borderId="72" xfId="0" applyFont="1" applyBorder="1"/>
    <xf numFmtId="0" fontId="4" fillId="0" borderId="73" xfId="0" applyFont="1" applyBorder="1"/>
    <xf numFmtId="4" fontId="6" fillId="0" borderId="75" xfId="0" applyNumberFormat="1" applyFont="1" applyBorder="1" applyAlignment="1">
      <alignment horizontal="left" vertical="center" wrapText="1"/>
    </xf>
    <xf numFmtId="0" fontId="7" fillId="0" borderId="74" xfId="0" applyFont="1" applyBorder="1" applyAlignment="1">
      <alignment horizontal="center" vertical="center"/>
    </xf>
    <xf numFmtId="2" fontId="7" fillId="0" borderId="74" xfId="0" applyNumberFormat="1" applyFont="1" applyBorder="1" applyAlignment="1">
      <alignment horizontal="center" vertical="center"/>
    </xf>
    <xf numFmtId="165" fontId="5" fillId="7" borderId="76" xfId="0" applyNumberFormat="1" applyFont="1" applyFill="1" applyBorder="1" applyAlignment="1">
      <alignment horizontal="center" vertical="center" wrapText="1"/>
    </xf>
    <xf numFmtId="167" fontId="8" fillId="0" borderId="77" xfId="0" applyNumberFormat="1" applyFont="1" applyBorder="1" applyAlignment="1">
      <alignment horizontal="center" vertical="center"/>
    </xf>
    <xf numFmtId="165" fontId="5" fillId="7" borderId="78" xfId="0" applyNumberFormat="1" applyFont="1" applyFill="1" applyBorder="1" applyAlignment="1">
      <alignment horizontal="center" vertical="center" wrapText="1"/>
    </xf>
    <xf numFmtId="167" fontId="8" fillId="4" borderId="77" xfId="0" applyNumberFormat="1" applyFont="1" applyFill="1" applyBorder="1" applyAlignment="1">
      <alignment horizontal="center" vertical="center"/>
    </xf>
    <xf numFmtId="165" fontId="5" fillId="0" borderId="76" xfId="0" applyNumberFormat="1" applyFont="1" applyFill="1" applyBorder="1" applyAlignment="1">
      <alignment horizontal="center" vertical="center" wrapText="1"/>
    </xf>
    <xf numFmtId="167" fontId="8" fillId="4" borderId="79" xfId="0" applyNumberFormat="1" applyFont="1" applyFill="1" applyBorder="1" applyAlignment="1">
      <alignment horizontal="center" vertical="center"/>
    </xf>
    <xf numFmtId="165" fontId="5" fillId="5" borderId="78" xfId="0" applyNumberFormat="1" applyFont="1" applyFill="1" applyBorder="1" applyAlignment="1">
      <alignment horizontal="center" vertical="center" wrapText="1"/>
    </xf>
    <xf numFmtId="167" fontId="9" fillId="4" borderId="78" xfId="0" applyNumberFormat="1" applyFont="1" applyFill="1" applyBorder="1" applyAlignment="1">
      <alignment horizontal="center" vertical="center"/>
    </xf>
    <xf numFmtId="167" fontId="9" fillId="7" borderId="77" xfId="0" applyNumberFormat="1" applyFont="1" applyFill="1" applyBorder="1" applyAlignment="1">
      <alignment horizontal="center" vertical="center"/>
    </xf>
    <xf numFmtId="44" fontId="7" fillId="9" borderId="9" xfId="1" applyFont="1" applyFill="1" applyBorder="1"/>
    <xf numFmtId="0" fontId="12" fillId="0" borderId="80" xfId="0" applyFont="1" applyBorder="1" applyAlignment="1">
      <alignment horizontal="center"/>
    </xf>
    <xf numFmtId="167" fontId="8" fillId="9" borderId="77" xfId="0" applyNumberFormat="1" applyFont="1" applyFill="1" applyBorder="1" applyAlignment="1">
      <alignment horizontal="center" vertical="center"/>
    </xf>
    <xf numFmtId="167" fontId="7" fillId="9" borderId="78" xfId="0" applyNumberFormat="1" applyFont="1" applyFill="1" applyBorder="1" applyAlignment="1">
      <alignment horizontal="center" vertical="center"/>
    </xf>
    <xf numFmtId="167" fontId="7" fillId="9" borderId="76" xfId="0" applyNumberFormat="1" applyFont="1" applyFill="1" applyBorder="1" applyAlignment="1">
      <alignment horizontal="center" vertical="center"/>
    </xf>
    <xf numFmtId="0" fontId="12" fillId="0" borderId="72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4" fontId="6" fillId="0" borderId="2" xfId="0" applyNumberFormat="1" applyFont="1" applyBorder="1" applyAlignment="1">
      <alignment horizontal="left" vertical="center" wrapText="1"/>
    </xf>
    <xf numFmtId="167" fontId="7" fillId="0" borderId="59" xfId="0" applyNumberFormat="1" applyFont="1" applyBorder="1" applyAlignment="1">
      <alignment horizontal="center" vertical="center"/>
    </xf>
    <xf numFmtId="167" fontId="7" fillId="10" borderId="3" xfId="0" applyNumberFormat="1" applyFont="1" applyFill="1" applyBorder="1" applyAlignment="1">
      <alignment horizontal="center" vertical="center"/>
    </xf>
    <xf numFmtId="167" fontId="7" fillId="0" borderId="3" xfId="0" applyNumberFormat="1" applyFont="1" applyFill="1" applyBorder="1" applyAlignment="1">
      <alignment horizontal="center" vertical="center"/>
    </xf>
    <xf numFmtId="167" fontId="7" fillId="0" borderId="59" xfId="0" applyNumberFormat="1" applyFont="1" applyFill="1" applyBorder="1" applyAlignment="1">
      <alignment horizontal="center" vertical="center"/>
    </xf>
    <xf numFmtId="167" fontId="7" fillId="0" borderId="2" xfId="0" applyNumberFormat="1" applyFont="1" applyFill="1" applyBorder="1" applyAlignment="1">
      <alignment horizontal="center" vertical="center"/>
    </xf>
    <xf numFmtId="4" fontId="6" fillId="0" borderId="84" xfId="0" applyNumberFormat="1" applyFont="1" applyBorder="1" applyAlignment="1">
      <alignment horizontal="left" vertical="center" wrapText="1"/>
    </xf>
    <xf numFmtId="167" fontId="9" fillId="5" borderId="85" xfId="0" applyNumberFormat="1" applyFont="1" applyFill="1" applyBorder="1" applyAlignment="1">
      <alignment horizontal="center" vertical="center"/>
    </xf>
    <xf numFmtId="4" fontId="6" fillId="0" borderId="86" xfId="0" applyNumberFormat="1" applyFont="1" applyBorder="1" applyAlignment="1">
      <alignment horizontal="left" vertical="center" wrapText="1"/>
    </xf>
    <xf numFmtId="167" fontId="7" fillId="0" borderId="76" xfId="0" applyNumberFormat="1" applyFont="1" applyBorder="1" applyAlignment="1">
      <alignment horizontal="center" vertical="center"/>
    </xf>
    <xf numFmtId="167" fontId="7" fillId="0" borderId="76" xfId="0" applyNumberFormat="1" applyFont="1" applyFill="1" applyBorder="1" applyAlignment="1">
      <alignment horizontal="center" vertical="center"/>
    </xf>
    <xf numFmtId="167" fontId="9" fillId="5" borderId="87" xfId="0" applyNumberFormat="1" applyFont="1" applyFill="1" applyBorder="1" applyAlignment="1">
      <alignment horizontal="center" vertical="center"/>
    </xf>
    <xf numFmtId="167" fontId="8" fillId="4" borderId="88" xfId="0" applyNumberFormat="1" applyFont="1" applyFill="1" applyBorder="1" applyAlignment="1">
      <alignment horizontal="center" vertical="center"/>
    </xf>
    <xf numFmtId="167" fontId="8" fillId="4" borderId="49" xfId="0" applyNumberFormat="1" applyFont="1" applyFill="1" applyBorder="1" applyAlignment="1">
      <alignment horizontal="center" vertical="center"/>
    </xf>
    <xf numFmtId="167" fontId="7" fillId="0" borderId="89" xfId="0" applyNumberFormat="1" applyFont="1" applyFill="1" applyBorder="1" applyAlignment="1">
      <alignment horizontal="center" vertical="center"/>
    </xf>
    <xf numFmtId="167" fontId="8" fillId="4" borderId="90" xfId="0" applyNumberFormat="1" applyFont="1" applyFill="1" applyBorder="1" applyAlignment="1">
      <alignment horizontal="center" vertical="center"/>
    </xf>
    <xf numFmtId="167" fontId="7" fillId="0" borderId="91" xfId="0" applyNumberFormat="1" applyFont="1" applyFill="1" applyBorder="1" applyAlignment="1">
      <alignment horizontal="center" vertical="center"/>
    </xf>
    <xf numFmtId="167" fontId="8" fillId="4" borderId="85" xfId="0" applyNumberFormat="1" applyFont="1" applyFill="1" applyBorder="1" applyAlignment="1">
      <alignment horizontal="center" vertical="center"/>
    </xf>
    <xf numFmtId="167" fontId="7" fillId="0" borderId="92" xfId="0" applyNumberFormat="1" applyFont="1" applyFill="1" applyBorder="1" applyAlignment="1">
      <alignment horizontal="center" vertical="center"/>
    </xf>
    <xf numFmtId="167" fontId="8" fillId="4" borderId="87" xfId="0" applyNumberFormat="1" applyFont="1" applyFill="1" applyBorder="1" applyAlignment="1">
      <alignment horizontal="center" vertical="center"/>
    </xf>
    <xf numFmtId="165" fontId="5" fillId="5" borderId="94" xfId="0" applyNumberFormat="1" applyFont="1" applyFill="1" applyBorder="1" applyAlignment="1">
      <alignment horizontal="center" vertical="center" wrapText="1"/>
    </xf>
    <xf numFmtId="165" fontId="5" fillId="5" borderId="95" xfId="0" applyNumberFormat="1" applyFont="1" applyFill="1" applyBorder="1" applyAlignment="1">
      <alignment horizontal="center" vertical="center" wrapText="1"/>
    </xf>
    <xf numFmtId="165" fontId="5" fillId="5" borderId="53" xfId="0" applyNumberFormat="1" applyFont="1" applyFill="1" applyBorder="1" applyAlignment="1">
      <alignment horizontal="center" vertical="center" wrapText="1"/>
    </xf>
    <xf numFmtId="165" fontId="5" fillId="5" borderId="61" xfId="0" applyNumberFormat="1" applyFont="1" applyFill="1" applyBorder="1" applyAlignment="1">
      <alignment horizontal="center" vertical="center" wrapText="1"/>
    </xf>
    <xf numFmtId="165" fontId="5" fillId="5" borderId="98" xfId="0" applyNumberFormat="1" applyFont="1" applyFill="1" applyBorder="1" applyAlignment="1">
      <alignment horizontal="center" vertical="center" wrapText="1"/>
    </xf>
    <xf numFmtId="165" fontId="5" fillId="5" borderId="99" xfId="0" applyNumberFormat="1" applyFont="1" applyFill="1" applyBorder="1" applyAlignment="1">
      <alignment horizontal="center" vertical="center" wrapText="1"/>
    </xf>
    <xf numFmtId="167" fontId="8" fillId="4" borderId="104" xfId="0" applyNumberFormat="1" applyFont="1" applyFill="1" applyBorder="1" applyAlignment="1">
      <alignment horizontal="center" vertical="center"/>
    </xf>
    <xf numFmtId="165" fontId="5" fillId="5" borderId="103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167" fontId="7" fillId="10" borderId="9" xfId="0" applyNumberFormat="1" applyFont="1" applyFill="1" applyBorder="1" applyAlignment="1">
      <alignment horizontal="center" vertical="center"/>
    </xf>
    <xf numFmtId="167" fontId="8" fillId="0" borderId="11" xfId="0" applyNumberFormat="1" applyFont="1" applyFill="1" applyBorder="1" applyAlignment="1">
      <alignment horizontal="center" vertical="center"/>
    </xf>
    <xf numFmtId="167" fontId="7" fillId="0" borderId="9" xfId="0" applyNumberFormat="1" applyFont="1" applyFill="1" applyBorder="1" applyAlignment="1">
      <alignment horizontal="center" vertical="center"/>
    </xf>
    <xf numFmtId="167" fontId="7" fillId="0" borderId="36" xfId="0" applyNumberFormat="1" applyFont="1" applyFill="1" applyBorder="1" applyAlignment="1">
      <alignment horizontal="center" vertical="center"/>
    </xf>
    <xf numFmtId="167" fontId="8" fillId="0" borderId="16" xfId="0" applyNumberFormat="1" applyFont="1" applyFill="1" applyBorder="1" applyAlignment="1">
      <alignment horizontal="center" vertical="center"/>
    </xf>
    <xf numFmtId="167" fontId="7" fillId="0" borderId="14" xfId="0" applyNumberFormat="1" applyFont="1" applyFill="1" applyBorder="1" applyAlignment="1">
      <alignment horizontal="center" vertical="center"/>
    </xf>
    <xf numFmtId="16" fontId="1" fillId="0" borderId="41" xfId="0" applyNumberFormat="1" applyFont="1" applyBorder="1" applyAlignment="1">
      <alignment horizontal="center" vertical="center" wrapText="1"/>
    </xf>
    <xf numFmtId="0" fontId="4" fillId="0" borderId="21" xfId="0" applyFont="1" applyBorder="1"/>
    <xf numFmtId="0" fontId="1" fillId="0" borderId="41" xfId="0" applyFont="1" applyBorder="1" applyAlignment="1">
      <alignment horizontal="center" vertical="top"/>
    </xf>
    <xf numFmtId="0" fontId="4" fillId="0" borderId="42" xfId="0" applyFont="1" applyBorder="1"/>
    <xf numFmtId="165" fontId="5" fillId="2" borderId="5" xfId="0" applyNumberFormat="1" applyFont="1" applyFill="1" applyBorder="1" applyAlignment="1">
      <alignment horizontal="center" vertical="center" wrapText="1"/>
    </xf>
    <xf numFmtId="0" fontId="4" fillId="0" borderId="7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9" fontId="3" fillId="0" borderId="18" xfId="0" applyNumberFormat="1" applyFont="1" applyBorder="1" applyAlignment="1">
      <alignment horizontal="center" vertical="center"/>
    </xf>
    <xf numFmtId="0" fontId="4" fillId="0" borderId="19" xfId="0" applyFont="1" applyBorder="1"/>
    <xf numFmtId="9" fontId="3" fillId="0" borderId="5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28" xfId="0" applyFont="1" applyBorder="1"/>
    <xf numFmtId="9" fontId="1" fillId="0" borderId="27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16" fontId="1" fillId="0" borderId="21" xfId="0" applyNumberFormat="1" applyFont="1" applyBorder="1" applyAlignment="1">
      <alignment horizontal="center" vertical="center" wrapText="1"/>
    </xf>
    <xf numFmtId="0" fontId="4" fillId="0" borderId="6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4" fillId="0" borderId="8" xfId="0" applyFont="1" applyBorder="1"/>
    <xf numFmtId="164" fontId="5" fillId="2" borderId="4" xfId="0" applyNumberFormat="1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165" fontId="5" fillId="2" borderId="24" xfId="0" applyNumberFormat="1" applyFont="1" applyFill="1" applyBorder="1" applyAlignment="1">
      <alignment horizontal="center" vertical="center" wrapText="1"/>
    </xf>
    <xf numFmtId="0" fontId="4" fillId="0" borderId="26" xfId="0" applyFont="1" applyBorder="1"/>
    <xf numFmtId="0" fontId="4" fillId="0" borderId="44" xfId="0" applyFont="1" applyBorder="1"/>
    <xf numFmtId="164" fontId="5" fillId="2" borderId="43" xfId="0" applyNumberFormat="1" applyFont="1" applyFill="1" applyBorder="1" applyAlignment="1">
      <alignment horizontal="center" vertical="center" wrapText="1"/>
    </xf>
    <xf numFmtId="0" fontId="4" fillId="0" borderId="45" xfId="0" applyFont="1" applyBorder="1"/>
    <xf numFmtId="0" fontId="4" fillId="0" borderId="54" xfId="0" applyFont="1" applyBorder="1"/>
    <xf numFmtId="0" fontId="1" fillId="0" borderId="21" xfId="0" applyFont="1" applyBorder="1" applyAlignment="1">
      <alignment horizontal="center" vertical="center" wrapText="1"/>
    </xf>
    <xf numFmtId="167" fontId="5" fillId="2" borderId="55" xfId="0" applyNumberFormat="1" applyFont="1" applyFill="1" applyBorder="1" applyAlignment="1">
      <alignment horizontal="center" vertical="center" wrapText="1"/>
    </xf>
    <xf numFmtId="0" fontId="4" fillId="0" borderId="58" xfId="0" applyFont="1" applyBorder="1"/>
    <xf numFmtId="0" fontId="1" fillId="0" borderId="65" xfId="0" applyFont="1" applyBorder="1" applyAlignment="1">
      <alignment horizontal="center" vertical="center" wrapText="1"/>
    </xf>
    <xf numFmtId="0" fontId="4" fillId="0" borderId="66" xfId="0" applyFont="1" applyBorder="1"/>
    <xf numFmtId="0" fontId="1" fillId="0" borderId="65" xfId="0" applyFont="1" applyBorder="1" applyAlignment="1">
      <alignment horizontal="center" vertical="top"/>
    </xf>
    <xf numFmtId="0" fontId="4" fillId="0" borderId="67" xfId="0" applyFont="1" applyBorder="1"/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 wrapText="1"/>
    </xf>
    <xf numFmtId="167" fontId="5" fillId="2" borderId="41" xfId="0" applyNumberFormat="1" applyFont="1" applyFill="1" applyBorder="1" applyAlignment="1">
      <alignment horizontal="center" vertical="center" wrapText="1"/>
    </xf>
    <xf numFmtId="0" fontId="4" fillId="0" borderId="60" xfId="0" applyFont="1" applyBorder="1"/>
    <xf numFmtId="165" fontId="5" fillId="5" borderId="5" xfId="0" applyNumberFormat="1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top"/>
    </xf>
    <xf numFmtId="165" fontId="5" fillId="5" borderId="55" xfId="0" applyNumberFormat="1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165" fontId="5" fillId="5" borderId="57" xfId="0" applyNumberFormat="1" applyFont="1" applyFill="1" applyBorder="1" applyAlignment="1">
      <alignment horizontal="center" vertical="center" wrapText="1"/>
    </xf>
    <xf numFmtId="165" fontId="5" fillId="5" borderId="7" xfId="0" applyNumberFormat="1" applyFont="1" applyFill="1" applyBorder="1" applyAlignment="1">
      <alignment horizontal="center" vertical="center" wrapText="1"/>
    </xf>
    <xf numFmtId="165" fontId="5" fillId="5" borderId="96" xfId="0" applyNumberFormat="1" applyFont="1" applyFill="1" applyBorder="1" applyAlignment="1">
      <alignment horizontal="center" vertical="center" wrapText="1"/>
    </xf>
    <xf numFmtId="165" fontId="5" fillId="5" borderId="97" xfId="0" applyNumberFormat="1" applyFont="1" applyFill="1" applyBorder="1" applyAlignment="1">
      <alignment horizontal="center" vertical="center" wrapText="1"/>
    </xf>
    <xf numFmtId="165" fontId="5" fillId="5" borderId="100" xfId="0" applyNumberFormat="1" applyFont="1" applyFill="1" applyBorder="1" applyAlignment="1">
      <alignment horizontal="center" vertical="center" wrapText="1"/>
    </xf>
    <xf numFmtId="0" fontId="3" fillId="0" borderId="66" xfId="0" applyFont="1" applyBorder="1" applyAlignment="1">
      <alignment horizontal="center"/>
    </xf>
    <xf numFmtId="9" fontId="3" fillId="0" borderId="38" xfId="0" applyNumberFormat="1" applyFont="1" applyBorder="1" applyAlignment="1">
      <alignment horizontal="center" vertical="center"/>
    </xf>
    <xf numFmtId="9" fontId="3" fillId="0" borderId="42" xfId="0" applyNumberFormat="1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" fillId="5" borderId="81" xfId="0" applyFont="1" applyFill="1" applyBorder="1" applyAlignment="1">
      <alignment horizontal="center" vertical="center" wrapText="1"/>
    </xf>
    <xf numFmtId="0" fontId="4" fillId="0" borderId="83" xfId="0" applyFont="1" applyBorder="1"/>
    <xf numFmtId="0" fontId="5" fillId="5" borderId="82" xfId="0" applyFont="1" applyFill="1" applyBorder="1" applyAlignment="1">
      <alignment horizontal="center" vertical="center" wrapText="1"/>
    </xf>
    <xf numFmtId="164" fontId="5" fillId="5" borderId="93" xfId="0" applyNumberFormat="1" applyFont="1" applyFill="1" applyBorder="1" applyAlignment="1">
      <alignment horizontal="center" vertical="center" wrapText="1"/>
    </xf>
    <xf numFmtId="165" fontId="5" fillId="5" borderId="101" xfId="0" applyNumberFormat="1" applyFont="1" applyFill="1" applyBorder="1" applyAlignment="1">
      <alignment horizontal="center" vertical="center" wrapText="1"/>
    </xf>
    <xf numFmtId="0" fontId="4" fillId="0" borderId="101" xfId="0" applyFont="1" applyBorder="1"/>
    <xf numFmtId="165" fontId="5" fillId="5" borderId="102" xfId="0" applyNumberFormat="1" applyFont="1" applyFill="1" applyBorder="1" applyAlignment="1">
      <alignment horizontal="center" vertical="center" wrapText="1"/>
    </xf>
    <xf numFmtId="0" fontId="4" fillId="0" borderId="100" xfId="0" applyFont="1" applyBorder="1"/>
    <xf numFmtId="0" fontId="4" fillId="0" borderId="97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5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4.44140625" defaultRowHeight="15" customHeight="1" x14ac:dyDescent="0.3"/>
  <cols>
    <col min="1" max="1" width="32" customWidth="1"/>
    <col min="2" max="3" width="10.5546875" customWidth="1"/>
    <col min="4" max="11" width="15" customWidth="1"/>
    <col min="12" max="12" width="14.5546875" hidden="1" customWidth="1"/>
    <col min="13" max="13" width="15" hidden="1" customWidth="1"/>
    <col min="14" max="15" width="15" customWidth="1"/>
    <col min="16" max="23" width="10.5546875" customWidth="1"/>
  </cols>
  <sheetData>
    <row r="1" spans="1:17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7" x14ac:dyDescent="0.3">
      <c r="A2" s="5" t="s">
        <v>0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x14ac:dyDescent="0.3">
      <c r="A3" s="5" t="s">
        <v>1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7" x14ac:dyDescent="0.3">
      <c r="A4" s="5" t="s">
        <v>2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7" x14ac:dyDescent="0.3">
      <c r="A5" s="5" t="s">
        <v>3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7" x14ac:dyDescent="0.3">
      <c r="A6" s="5" t="s">
        <v>4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7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7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7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7" ht="14.4" x14ac:dyDescent="0.3">
      <c r="A10" s="286" t="s">
        <v>6</v>
      </c>
      <c r="B10" s="286" t="s">
        <v>7</v>
      </c>
      <c r="C10" s="288" t="s">
        <v>8</v>
      </c>
      <c r="D10" s="270" t="s">
        <v>9</v>
      </c>
      <c r="E10" s="282"/>
      <c r="F10" s="270" t="s">
        <v>10</v>
      </c>
      <c r="G10" s="271"/>
      <c r="H10" s="270" t="s">
        <v>11</v>
      </c>
      <c r="I10" s="271"/>
      <c r="J10" s="270"/>
      <c r="K10" s="271"/>
      <c r="L10" s="270"/>
      <c r="M10" s="282"/>
      <c r="N10" s="270" t="s">
        <v>12</v>
      </c>
      <c r="O10" s="271"/>
    </row>
    <row r="11" spans="1:17" ht="12" customHeight="1" x14ac:dyDescent="0.3">
      <c r="A11" s="287"/>
      <c r="B11" s="287"/>
      <c r="C11" s="287"/>
      <c r="D11" s="8" t="s">
        <v>13</v>
      </c>
      <c r="E11" s="9" t="s">
        <v>14</v>
      </c>
      <c r="F11" s="8" t="s">
        <v>13</v>
      </c>
      <c r="G11" s="10" t="s">
        <v>14</v>
      </c>
      <c r="H11" s="8" t="s">
        <v>13</v>
      </c>
      <c r="I11" s="10" t="s">
        <v>14</v>
      </c>
      <c r="J11" s="8" t="s">
        <v>13</v>
      </c>
      <c r="K11" s="10" t="s">
        <v>14</v>
      </c>
      <c r="L11" s="8" t="s">
        <v>13</v>
      </c>
      <c r="M11" s="9" t="s">
        <v>14</v>
      </c>
      <c r="N11" s="8" t="s">
        <v>13</v>
      </c>
      <c r="O11" s="10" t="s">
        <v>14</v>
      </c>
    </row>
    <row r="12" spans="1:17" ht="14.4" x14ac:dyDescent="0.3">
      <c r="A12" s="11" t="s">
        <v>15</v>
      </c>
      <c r="B12" s="12" t="s">
        <v>16</v>
      </c>
      <c r="C12" s="13">
        <v>32</v>
      </c>
      <c r="D12" s="14">
        <f>12087.84</f>
        <v>12087.84</v>
      </c>
      <c r="E12" s="15">
        <f t="shared" ref="E12:E28" si="0">D12*C12</f>
        <v>386810.88</v>
      </c>
      <c r="F12" s="14">
        <v>12069.16</v>
      </c>
      <c r="G12" s="16">
        <f t="shared" ref="G12:G28" si="1">F12*C12</f>
        <v>386213.12</v>
      </c>
      <c r="H12" s="14">
        <f>18000/1.21</f>
        <v>14876.03305785124</v>
      </c>
      <c r="I12" s="16">
        <f t="shared" ref="I12:I28" si="2">H12*C12</f>
        <v>476033.05785123969</v>
      </c>
      <c r="J12" s="14"/>
      <c r="K12" s="16">
        <f t="shared" ref="K12:K28" si="3">J12*C12</f>
        <v>0</v>
      </c>
      <c r="L12" s="14"/>
      <c r="M12" s="15">
        <f t="shared" ref="M12:M28" si="4">L12*C12</f>
        <v>0</v>
      </c>
      <c r="N12" s="17">
        <f t="shared" ref="N12:N28" si="5">MIN(D12,F12,H12,L12,J12)</f>
        <v>12069.16</v>
      </c>
      <c r="O12" s="18">
        <f t="shared" ref="O12:O28" si="6">N12*C12</f>
        <v>386213.12</v>
      </c>
      <c r="P12" s="19"/>
      <c r="Q12" s="20"/>
    </row>
    <row r="13" spans="1:17" ht="14.4" hidden="1" x14ac:dyDescent="0.3">
      <c r="A13" s="11"/>
      <c r="B13" s="12"/>
      <c r="C13" s="13"/>
      <c r="D13" s="14"/>
      <c r="E13" s="15">
        <f t="shared" si="0"/>
        <v>0</v>
      </c>
      <c r="F13" s="21"/>
      <c r="G13" s="16">
        <f t="shared" si="1"/>
        <v>0</v>
      </c>
      <c r="H13" s="21"/>
      <c r="I13" s="16">
        <f t="shared" si="2"/>
        <v>0</v>
      </c>
      <c r="J13" s="14"/>
      <c r="K13" s="16">
        <f t="shared" si="3"/>
        <v>0</v>
      </c>
      <c r="L13" s="14"/>
      <c r="M13" s="15">
        <f t="shared" si="4"/>
        <v>0</v>
      </c>
      <c r="N13" s="17">
        <f t="shared" si="5"/>
        <v>0</v>
      </c>
      <c r="O13" s="18">
        <f t="shared" si="6"/>
        <v>0</v>
      </c>
      <c r="P13" s="19"/>
      <c r="Q13" s="20"/>
    </row>
    <row r="14" spans="1:17" ht="14.4" hidden="1" x14ac:dyDescent="0.3">
      <c r="A14" s="11"/>
      <c r="B14" s="22"/>
      <c r="C14" s="13"/>
      <c r="D14" s="14"/>
      <c r="E14" s="15">
        <f t="shared" si="0"/>
        <v>0</v>
      </c>
      <c r="F14" s="21"/>
      <c r="G14" s="16">
        <f t="shared" si="1"/>
        <v>0</v>
      </c>
      <c r="H14" s="14"/>
      <c r="I14" s="16">
        <f t="shared" si="2"/>
        <v>0</v>
      </c>
      <c r="J14" s="21"/>
      <c r="K14" s="16">
        <f t="shared" si="3"/>
        <v>0</v>
      </c>
      <c r="L14" s="21"/>
      <c r="M14" s="15">
        <f t="shared" si="4"/>
        <v>0</v>
      </c>
      <c r="N14" s="17">
        <f t="shared" si="5"/>
        <v>0</v>
      </c>
      <c r="O14" s="18">
        <f t="shared" si="6"/>
        <v>0</v>
      </c>
      <c r="P14" s="19"/>
      <c r="Q14" s="20"/>
    </row>
    <row r="15" spans="1:17" ht="14.4" hidden="1" x14ac:dyDescent="0.3">
      <c r="A15" s="11"/>
      <c r="B15" s="22"/>
      <c r="C15" s="13"/>
      <c r="D15" s="14"/>
      <c r="E15" s="15">
        <f t="shared" si="0"/>
        <v>0</v>
      </c>
      <c r="F15" s="21"/>
      <c r="G15" s="16">
        <f t="shared" si="1"/>
        <v>0</v>
      </c>
      <c r="H15" s="21"/>
      <c r="I15" s="16">
        <f t="shared" si="2"/>
        <v>0</v>
      </c>
      <c r="J15" s="21"/>
      <c r="K15" s="16">
        <f t="shared" si="3"/>
        <v>0</v>
      </c>
      <c r="L15" s="21"/>
      <c r="M15" s="15">
        <f t="shared" si="4"/>
        <v>0</v>
      </c>
      <c r="N15" s="17">
        <f t="shared" si="5"/>
        <v>0</v>
      </c>
      <c r="O15" s="18">
        <f t="shared" si="6"/>
        <v>0</v>
      </c>
      <c r="P15" s="19"/>
      <c r="Q15" s="20"/>
    </row>
    <row r="16" spans="1:17" ht="14.4" hidden="1" x14ac:dyDescent="0.3">
      <c r="A16" s="11"/>
      <c r="B16" s="22"/>
      <c r="C16" s="13"/>
      <c r="D16" s="14"/>
      <c r="E16" s="15">
        <f t="shared" si="0"/>
        <v>0</v>
      </c>
      <c r="F16" s="21"/>
      <c r="G16" s="16">
        <f t="shared" si="1"/>
        <v>0</v>
      </c>
      <c r="H16" s="21"/>
      <c r="I16" s="16">
        <f t="shared" si="2"/>
        <v>0</v>
      </c>
      <c r="J16" s="21"/>
      <c r="K16" s="16">
        <f t="shared" si="3"/>
        <v>0</v>
      </c>
      <c r="L16" s="21"/>
      <c r="M16" s="15">
        <f t="shared" si="4"/>
        <v>0</v>
      </c>
      <c r="N16" s="17">
        <f t="shared" si="5"/>
        <v>0</v>
      </c>
      <c r="O16" s="18">
        <f t="shared" si="6"/>
        <v>0</v>
      </c>
      <c r="P16" s="19"/>
      <c r="Q16" s="20"/>
    </row>
    <row r="17" spans="1:17" ht="14.4" hidden="1" x14ac:dyDescent="0.3">
      <c r="A17" s="11"/>
      <c r="B17" s="22"/>
      <c r="C17" s="13"/>
      <c r="D17" s="14"/>
      <c r="E17" s="15">
        <f t="shared" si="0"/>
        <v>0</v>
      </c>
      <c r="F17" s="21"/>
      <c r="G17" s="16">
        <f t="shared" si="1"/>
        <v>0</v>
      </c>
      <c r="H17" s="21"/>
      <c r="I17" s="16">
        <f t="shared" si="2"/>
        <v>0</v>
      </c>
      <c r="J17" s="21"/>
      <c r="K17" s="16">
        <f t="shared" si="3"/>
        <v>0</v>
      </c>
      <c r="L17" s="21"/>
      <c r="M17" s="15">
        <f t="shared" si="4"/>
        <v>0</v>
      </c>
      <c r="N17" s="17">
        <f t="shared" si="5"/>
        <v>0</v>
      </c>
      <c r="O17" s="18">
        <f t="shared" si="6"/>
        <v>0</v>
      </c>
      <c r="P17" s="19"/>
      <c r="Q17" s="20"/>
    </row>
    <row r="18" spans="1:17" ht="14.4" hidden="1" x14ac:dyDescent="0.3">
      <c r="A18" s="11"/>
      <c r="B18" s="22"/>
      <c r="C18" s="13"/>
      <c r="D18" s="14"/>
      <c r="E18" s="15">
        <f t="shared" si="0"/>
        <v>0</v>
      </c>
      <c r="F18" s="21"/>
      <c r="G18" s="16">
        <f t="shared" si="1"/>
        <v>0</v>
      </c>
      <c r="H18" s="21"/>
      <c r="I18" s="16">
        <f t="shared" si="2"/>
        <v>0</v>
      </c>
      <c r="J18" s="21"/>
      <c r="K18" s="16">
        <f t="shared" si="3"/>
        <v>0</v>
      </c>
      <c r="L18" s="21"/>
      <c r="M18" s="15">
        <f t="shared" si="4"/>
        <v>0</v>
      </c>
      <c r="N18" s="17">
        <f t="shared" si="5"/>
        <v>0</v>
      </c>
      <c r="O18" s="18">
        <f t="shared" si="6"/>
        <v>0</v>
      </c>
      <c r="P18" s="19"/>
      <c r="Q18" s="20"/>
    </row>
    <row r="19" spans="1:17" ht="14.4" hidden="1" x14ac:dyDescent="0.3">
      <c r="A19" s="11"/>
      <c r="B19" s="22"/>
      <c r="C19" s="13"/>
      <c r="D19" s="14"/>
      <c r="E19" s="15">
        <f t="shared" si="0"/>
        <v>0</v>
      </c>
      <c r="F19" s="21"/>
      <c r="G19" s="16">
        <f t="shared" si="1"/>
        <v>0</v>
      </c>
      <c r="H19" s="21"/>
      <c r="I19" s="16">
        <f t="shared" si="2"/>
        <v>0</v>
      </c>
      <c r="J19" s="21"/>
      <c r="K19" s="16">
        <f t="shared" si="3"/>
        <v>0</v>
      </c>
      <c r="L19" s="21"/>
      <c r="M19" s="15">
        <f t="shared" si="4"/>
        <v>0</v>
      </c>
      <c r="N19" s="17">
        <f t="shared" si="5"/>
        <v>0</v>
      </c>
      <c r="O19" s="18">
        <f t="shared" si="6"/>
        <v>0</v>
      </c>
      <c r="P19" s="19"/>
      <c r="Q19" s="20"/>
    </row>
    <row r="20" spans="1:17" ht="14.4" hidden="1" x14ac:dyDescent="0.3">
      <c r="A20" s="11"/>
      <c r="B20" s="22"/>
      <c r="C20" s="13"/>
      <c r="D20" s="14"/>
      <c r="E20" s="15">
        <f t="shared" si="0"/>
        <v>0</v>
      </c>
      <c r="F20" s="21"/>
      <c r="G20" s="16">
        <f t="shared" si="1"/>
        <v>0</v>
      </c>
      <c r="H20" s="21"/>
      <c r="I20" s="16">
        <f t="shared" si="2"/>
        <v>0</v>
      </c>
      <c r="J20" s="21"/>
      <c r="K20" s="16">
        <f t="shared" si="3"/>
        <v>0</v>
      </c>
      <c r="L20" s="21"/>
      <c r="M20" s="15">
        <f t="shared" si="4"/>
        <v>0</v>
      </c>
      <c r="N20" s="17">
        <f t="shared" si="5"/>
        <v>0</v>
      </c>
      <c r="O20" s="18">
        <f t="shared" si="6"/>
        <v>0</v>
      </c>
      <c r="P20" s="19"/>
      <c r="Q20" s="20"/>
    </row>
    <row r="21" spans="1:17" ht="14.4" hidden="1" x14ac:dyDescent="0.3">
      <c r="A21" s="11"/>
      <c r="B21" s="22"/>
      <c r="C21" s="13"/>
      <c r="D21" s="14"/>
      <c r="E21" s="15">
        <f t="shared" si="0"/>
        <v>0</v>
      </c>
      <c r="F21" s="21"/>
      <c r="G21" s="16">
        <f t="shared" si="1"/>
        <v>0</v>
      </c>
      <c r="H21" s="21"/>
      <c r="I21" s="16">
        <f t="shared" si="2"/>
        <v>0</v>
      </c>
      <c r="J21" s="21"/>
      <c r="K21" s="16">
        <f t="shared" si="3"/>
        <v>0</v>
      </c>
      <c r="L21" s="21"/>
      <c r="M21" s="15">
        <f t="shared" si="4"/>
        <v>0</v>
      </c>
      <c r="N21" s="17">
        <f t="shared" si="5"/>
        <v>0</v>
      </c>
      <c r="O21" s="18">
        <f t="shared" si="6"/>
        <v>0</v>
      </c>
      <c r="P21" s="19"/>
      <c r="Q21" s="20"/>
    </row>
    <row r="22" spans="1:17" ht="14.4" hidden="1" x14ac:dyDescent="0.3">
      <c r="A22" s="11"/>
      <c r="B22" s="22"/>
      <c r="C22" s="13"/>
      <c r="D22" s="14"/>
      <c r="E22" s="15">
        <f t="shared" si="0"/>
        <v>0</v>
      </c>
      <c r="F22" s="21"/>
      <c r="G22" s="16">
        <f t="shared" si="1"/>
        <v>0</v>
      </c>
      <c r="H22" s="21"/>
      <c r="I22" s="16">
        <f t="shared" si="2"/>
        <v>0</v>
      </c>
      <c r="J22" s="21"/>
      <c r="K22" s="16">
        <f t="shared" si="3"/>
        <v>0</v>
      </c>
      <c r="L22" s="21"/>
      <c r="M22" s="15">
        <f t="shared" si="4"/>
        <v>0</v>
      </c>
      <c r="N22" s="17">
        <f t="shared" si="5"/>
        <v>0</v>
      </c>
      <c r="O22" s="18">
        <f t="shared" si="6"/>
        <v>0</v>
      </c>
      <c r="P22" s="19"/>
      <c r="Q22" s="20"/>
    </row>
    <row r="23" spans="1:17" ht="14.4" hidden="1" x14ac:dyDescent="0.3">
      <c r="A23" s="11"/>
      <c r="B23" s="22"/>
      <c r="C23" s="13"/>
      <c r="D23" s="14"/>
      <c r="E23" s="15">
        <f t="shared" si="0"/>
        <v>0</v>
      </c>
      <c r="F23" s="21"/>
      <c r="G23" s="16">
        <f t="shared" si="1"/>
        <v>0</v>
      </c>
      <c r="H23" s="21"/>
      <c r="I23" s="16">
        <f t="shared" si="2"/>
        <v>0</v>
      </c>
      <c r="J23" s="21"/>
      <c r="K23" s="16">
        <f t="shared" si="3"/>
        <v>0</v>
      </c>
      <c r="L23" s="21"/>
      <c r="M23" s="15">
        <f t="shared" si="4"/>
        <v>0</v>
      </c>
      <c r="N23" s="17">
        <f t="shared" si="5"/>
        <v>0</v>
      </c>
      <c r="O23" s="18">
        <f t="shared" si="6"/>
        <v>0</v>
      </c>
      <c r="P23" s="19"/>
      <c r="Q23" s="20"/>
    </row>
    <row r="24" spans="1:17" ht="14.4" hidden="1" x14ac:dyDescent="0.3">
      <c r="A24" s="11"/>
      <c r="B24" s="22"/>
      <c r="C24" s="13"/>
      <c r="D24" s="14"/>
      <c r="E24" s="15">
        <f t="shared" si="0"/>
        <v>0</v>
      </c>
      <c r="F24" s="21"/>
      <c r="G24" s="16">
        <f t="shared" si="1"/>
        <v>0</v>
      </c>
      <c r="H24" s="21"/>
      <c r="I24" s="16">
        <f t="shared" si="2"/>
        <v>0</v>
      </c>
      <c r="J24" s="21"/>
      <c r="K24" s="16">
        <f t="shared" si="3"/>
        <v>0</v>
      </c>
      <c r="L24" s="21"/>
      <c r="M24" s="15">
        <f t="shared" si="4"/>
        <v>0</v>
      </c>
      <c r="N24" s="17">
        <f t="shared" si="5"/>
        <v>0</v>
      </c>
      <c r="O24" s="18">
        <f t="shared" si="6"/>
        <v>0</v>
      </c>
      <c r="P24" s="19"/>
      <c r="Q24" s="20"/>
    </row>
    <row r="25" spans="1:17" ht="14.4" hidden="1" x14ac:dyDescent="0.3">
      <c r="A25" s="11"/>
      <c r="B25" s="22"/>
      <c r="C25" s="13"/>
      <c r="D25" s="14"/>
      <c r="E25" s="15">
        <f t="shared" si="0"/>
        <v>0</v>
      </c>
      <c r="F25" s="21"/>
      <c r="G25" s="16">
        <f t="shared" si="1"/>
        <v>0</v>
      </c>
      <c r="H25" s="21"/>
      <c r="I25" s="16">
        <f t="shared" si="2"/>
        <v>0</v>
      </c>
      <c r="J25" s="21"/>
      <c r="K25" s="16">
        <f t="shared" si="3"/>
        <v>0</v>
      </c>
      <c r="L25" s="21"/>
      <c r="M25" s="15">
        <f t="shared" si="4"/>
        <v>0</v>
      </c>
      <c r="N25" s="17">
        <f t="shared" si="5"/>
        <v>0</v>
      </c>
      <c r="O25" s="18">
        <f t="shared" si="6"/>
        <v>0</v>
      </c>
      <c r="P25" s="19"/>
      <c r="Q25" s="20"/>
    </row>
    <row r="26" spans="1:17" ht="14.4" hidden="1" x14ac:dyDescent="0.3">
      <c r="A26" s="11"/>
      <c r="B26" s="22"/>
      <c r="C26" s="13"/>
      <c r="D26" s="14"/>
      <c r="E26" s="15">
        <f t="shared" si="0"/>
        <v>0</v>
      </c>
      <c r="F26" s="21"/>
      <c r="G26" s="16">
        <f t="shared" si="1"/>
        <v>0</v>
      </c>
      <c r="H26" s="21"/>
      <c r="I26" s="16">
        <f t="shared" si="2"/>
        <v>0</v>
      </c>
      <c r="J26" s="21"/>
      <c r="K26" s="16">
        <f t="shared" si="3"/>
        <v>0</v>
      </c>
      <c r="L26" s="21"/>
      <c r="M26" s="15">
        <f t="shared" si="4"/>
        <v>0</v>
      </c>
      <c r="N26" s="17">
        <f t="shared" si="5"/>
        <v>0</v>
      </c>
      <c r="O26" s="18">
        <f t="shared" si="6"/>
        <v>0</v>
      </c>
      <c r="P26" s="19"/>
      <c r="Q26" s="20"/>
    </row>
    <row r="27" spans="1:17" ht="14.4" x14ac:dyDescent="0.3">
      <c r="A27" s="11"/>
      <c r="B27" s="22"/>
      <c r="C27" s="13"/>
      <c r="D27" s="14"/>
      <c r="E27" s="15">
        <f t="shared" si="0"/>
        <v>0</v>
      </c>
      <c r="F27" s="21"/>
      <c r="G27" s="16">
        <f t="shared" si="1"/>
        <v>0</v>
      </c>
      <c r="H27" s="21"/>
      <c r="I27" s="16">
        <f t="shared" si="2"/>
        <v>0</v>
      </c>
      <c r="J27" s="21"/>
      <c r="K27" s="16">
        <f t="shared" si="3"/>
        <v>0</v>
      </c>
      <c r="L27" s="21"/>
      <c r="M27" s="15">
        <f t="shared" si="4"/>
        <v>0</v>
      </c>
      <c r="N27" s="17">
        <f t="shared" si="5"/>
        <v>0</v>
      </c>
      <c r="O27" s="18">
        <f t="shared" si="6"/>
        <v>0</v>
      </c>
      <c r="P27" s="19"/>
      <c r="Q27" s="20"/>
    </row>
    <row r="28" spans="1:17" ht="15.75" customHeight="1" x14ac:dyDescent="0.3">
      <c r="A28" s="23"/>
      <c r="B28" s="24"/>
      <c r="C28" s="25"/>
      <c r="D28" s="26"/>
      <c r="E28" s="27">
        <f t="shared" si="0"/>
        <v>0</v>
      </c>
      <c r="F28" s="28"/>
      <c r="G28" s="29">
        <f t="shared" si="1"/>
        <v>0</v>
      </c>
      <c r="H28" s="28"/>
      <c r="I28" s="29">
        <f t="shared" si="2"/>
        <v>0</v>
      </c>
      <c r="J28" s="28"/>
      <c r="K28" s="29">
        <f t="shared" si="3"/>
        <v>0</v>
      </c>
      <c r="L28" s="28"/>
      <c r="M28" s="27">
        <f t="shared" si="4"/>
        <v>0</v>
      </c>
      <c r="N28" s="30">
        <f t="shared" si="5"/>
        <v>0</v>
      </c>
      <c r="O28" s="31">
        <f t="shared" si="6"/>
        <v>0</v>
      </c>
      <c r="P28" s="19"/>
      <c r="Q28" s="20"/>
    </row>
    <row r="29" spans="1:17" ht="15.75" customHeight="1" x14ac:dyDescent="0.3">
      <c r="A29" s="272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4"/>
    </row>
    <row r="30" spans="1:17" ht="15.75" customHeight="1" x14ac:dyDescent="0.3">
      <c r="A30" s="32" t="s">
        <v>17</v>
      </c>
      <c r="B30" s="274"/>
      <c r="C30" s="275"/>
      <c r="D30" s="33"/>
      <c r="E30" s="34">
        <f>+SUM(E12:E27)</f>
        <v>386810.88</v>
      </c>
      <c r="F30" s="35"/>
      <c r="G30" s="34">
        <f>+SUM(G12:G27)</f>
        <v>386213.12</v>
      </c>
      <c r="H30" s="35"/>
      <c r="I30" s="34">
        <f>SUM(I12:I27)</f>
        <v>476033.05785123969</v>
      </c>
      <c r="J30" s="35"/>
      <c r="K30" s="34">
        <f>+SUM(K12:K28)</f>
        <v>0</v>
      </c>
      <c r="L30" s="35"/>
      <c r="M30" s="34">
        <f>+SUM(M12:M26)</f>
        <v>0</v>
      </c>
      <c r="N30" s="36"/>
      <c r="O30" s="34">
        <f>+SUM(O12:O27)</f>
        <v>386213.12</v>
      </c>
    </row>
    <row r="31" spans="1:17" ht="15.75" customHeight="1" x14ac:dyDescent="0.3">
      <c r="A31" s="37"/>
      <c r="B31" s="38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</row>
    <row r="32" spans="1:17" ht="15.75" customHeight="1" x14ac:dyDescent="0.3">
      <c r="A32" s="40" t="s">
        <v>18</v>
      </c>
      <c r="B32" s="276"/>
      <c r="C32" s="271"/>
      <c r="D32" s="41">
        <v>0</v>
      </c>
      <c r="E32" s="42">
        <f>+E30*D32</f>
        <v>0</v>
      </c>
      <c r="F32" s="41">
        <v>0</v>
      </c>
      <c r="G32" s="43">
        <f>+G30*F32</f>
        <v>0</v>
      </c>
      <c r="H32" s="41">
        <v>0</v>
      </c>
      <c r="I32" s="42">
        <f>+I30*H32</f>
        <v>0</v>
      </c>
      <c r="J32" s="41">
        <v>0</v>
      </c>
      <c r="K32" s="43">
        <f>+K30*J32</f>
        <v>0</v>
      </c>
      <c r="L32" s="41">
        <v>0</v>
      </c>
      <c r="M32" s="43">
        <f>+M30*L32</f>
        <v>0</v>
      </c>
      <c r="N32" s="44"/>
      <c r="O32" s="43">
        <f>+O30*N32</f>
        <v>0</v>
      </c>
    </row>
    <row r="33" spans="1:15" ht="15.75" customHeight="1" x14ac:dyDescent="0.3">
      <c r="A33" s="45" t="s">
        <v>19</v>
      </c>
      <c r="B33" s="277">
        <v>1</v>
      </c>
      <c r="C33" s="278"/>
      <c r="D33" s="46"/>
      <c r="E33" s="47"/>
      <c r="F33" s="46"/>
      <c r="G33" s="48"/>
      <c r="H33" s="46"/>
      <c r="I33" s="47"/>
      <c r="J33" s="46"/>
      <c r="K33" s="48"/>
      <c r="L33" s="46"/>
      <c r="M33" s="48"/>
      <c r="N33" s="49"/>
      <c r="O33" s="48"/>
    </row>
    <row r="34" spans="1:15" ht="15.75" customHeight="1" x14ac:dyDescent="0.3">
      <c r="A34" s="45" t="s">
        <v>20</v>
      </c>
      <c r="B34" s="277"/>
      <c r="C34" s="278"/>
      <c r="D34" s="46"/>
      <c r="E34" s="47">
        <f>+E30-E32</f>
        <v>386810.88</v>
      </c>
      <c r="F34" s="46"/>
      <c r="G34" s="48">
        <f>+G30-G32</f>
        <v>386213.12</v>
      </c>
      <c r="H34" s="46"/>
      <c r="I34" s="47">
        <f>+I30-I32</f>
        <v>476033.05785123969</v>
      </c>
      <c r="J34" s="46"/>
      <c r="K34" s="48">
        <f>+K30-K32</f>
        <v>0</v>
      </c>
      <c r="L34" s="46"/>
      <c r="M34" s="48">
        <f>+M30-M32</f>
        <v>0</v>
      </c>
      <c r="N34" s="49"/>
      <c r="O34" s="48">
        <f>+O30-O32</f>
        <v>386213.12</v>
      </c>
    </row>
    <row r="35" spans="1:15" ht="15.75" customHeight="1" x14ac:dyDescent="0.3">
      <c r="A35" s="45" t="s">
        <v>21</v>
      </c>
      <c r="B35" s="279">
        <v>0.21</v>
      </c>
      <c r="C35" s="278"/>
      <c r="D35" s="46"/>
      <c r="E35" s="47">
        <f>+E34*$B$35</f>
        <v>81230.284799999994</v>
      </c>
      <c r="F35" s="46"/>
      <c r="G35" s="48">
        <f>+G34*$B$35</f>
        <v>81104.7552</v>
      </c>
      <c r="H35" s="46"/>
      <c r="I35" s="47">
        <f>+I34*$B$35</f>
        <v>99966.942148760325</v>
      </c>
      <c r="J35" s="46"/>
      <c r="K35" s="48">
        <f>+K34*$B$35</f>
        <v>0</v>
      </c>
      <c r="L35" s="46"/>
      <c r="M35" s="48">
        <f>+M34*$B$35</f>
        <v>0</v>
      </c>
      <c r="N35" s="49"/>
      <c r="O35" s="48">
        <f>O34*B35</f>
        <v>81104.7552</v>
      </c>
    </row>
    <row r="36" spans="1:15" ht="15.75" customHeight="1" x14ac:dyDescent="0.3">
      <c r="A36" s="50" t="s">
        <v>22</v>
      </c>
      <c r="B36" s="51"/>
      <c r="C36" s="52"/>
      <c r="D36" s="53"/>
      <c r="E36" s="54">
        <v>6188.97</v>
      </c>
      <c r="F36" s="53"/>
      <c r="G36" s="55">
        <v>6179.41</v>
      </c>
      <c r="H36" s="53"/>
      <c r="I36" s="54"/>
      <c r="J36" s="53"/>
      <c r="K36" s="55"/>
      <c r="L36" s="53"/>
      <c r="M36" s="55"/>
      <c r="N36" s="56"/>
      <c r="O36" s="55"/>
    </row>
    <row r="37" spans="1:15" ht="15.75" customHeight="1" x14ac:dyDescent="0.3">
      <c r="A37" s="57"/>
      <c r="B37" s="58"/>
      <c r="C37" s="59"/>
      <c r="D37" s="60"/>
      <c r="E37" s="61"/>
      <c r="F37" s="60"/>
      <c r="G37" s="62"/>
      <c r="H37" s="60"/>
      <c r="I37" s="61"/>
      <c r="J37" s="63"/>
      <c r="K37" s="64"/>
      <c r="L37" s="63"/>
      <c r="M37" s="64"/>
      <c r="N37" s="65"/>
      <c r="O37" s="62"/>
    </row>
    <row r="38" spans="1:15" ht="15.75" customHeight="1" x14ac:dyDescent="0.3">
      <c r="A38" s="37"/>
      <c r="B38" s="38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</row>
    <row r="39" spans="1:15" ht="15.75" customHeight="1" x14ac:dyDescent="0.3">
      <c r="A39" s="66" t="s">
        <v>23</v>
      </c>
      <c r="B39" s="67"/>
      <c r="C39" s="68"/>
      <c r="D39" s="69"/>
      <c r="E39" s="70">
        <f>+E34+E35+E36</f>
        <v>474230.1348</v>
      </c>
      <c r="F39" s="71"/>
      <c r="G39" s="70">
        <f>+G34+G35+G36</f>
        <v>473497.28519999998</v>
      </c>
      <c r="H39" s="71"/>
      <c r="I39" s="70">
        <f>+I34+I35+I36</f>
        <v>576000</v>
      </c>
      <c r="J39" s="71"/>
      <c r="K39" s="70">
        <f>+K34+K35+K36</f>
        <v>0</v>
      </c>
      <c r="L39" s="71"/>
      <c r="M39" s="70">
        <f>+M34+M35+M36</f>
        <v>0</v>
      </c>
      <c r="N39" s="69"/>
      <c r="O39" s="72">
        <f>SUM(O34:O35)</f>
        <v>467317.87520000001</v>
      </c>
    </row>
    <row r="40" spans="1:15" ht="37.5" customHeight="1" x14ac:dyDescent="0.3">
      <c r="A40" s="73" t="s">
        <v>24</v>
      </c>
      <c r="B40" s="280"/>
      <c r="C40" s="269"/>
      <c r="D40" s="281"/>
      <c r="E40" s="267"/>
      <c r="F40" s="266"/>
      <c r="G40" s="269"/>
      <c r="H40" s="266"/>
      <c r="I40" s="267"/>
      <c r="J40" s="266"/>
      <c r="K40" s="267"/>
      <c r="L40" s="266"/>
      <c r="M40" s="267"/>
      <c r="N40" s="268"/>
      <c r="O40" s="269"/>
    </row>
    <row r="41" spans="1:15" ht="15.75" customHeight="1" x14ac:dyDescent="0.3">
      <c r="H41" s="74"/>
    </row>
    <row r="42" spans="1:15" ht="15.75" customHeight="1" x14ac:dyDescent="0.3"/>
    <row r="43" spans="1:15" ht="15.75" customHeight="1" x14ac:dyDescent="0.3"/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</sheetData>
  <mergeCells count="23">
    <mergeCell ref="A8:O8"/>
    <mergeCell ref="A10:A11"/>
    <mergeCell ref="B10:B11"/>
    <mergeCell ref="C10:C11"/>
    <mergeCell ref="D10:E10"/>
    <mergeCell ref="F10:G10"/>
    <mergeCell ref="N10:O10"/>
    <mergeCell ref="L40:M40"/>
    <mergeCell ref="N40:O40"/>
    <mergeCell ref="H10:I10"/>
    <mergeCell ref="A29:N29"/>
    <mergeCell ref="B30:C30"/>
    <mergeCell ref="B32:C32"/>
    <mergeCell ref="B33:C33"/>
    <mergeCell ref="B34:C34"/>
    <mergeCell ref="B35:C35"/>
    <mergeCell ref="B40:C40"/>
    <mergeCell ref="D40:E40"/>
    <mergeCell ref="F40:G40"/>
    <mergeCell ref="H40:I40"/>
    <mergeCell ref="J40:K40"/>
    <mergeCell ref="J10:K10"/>
    <mergeCell ref="L10:M10"/>
  </mergeCells>
  <pageMargins left="0.25" right="0.25" top="0.75" bottom="0.75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000"/>
  <sheetViews>
    <sheetView workbookViewId="0"/>
  </sheetViews>
  <sheetFormatPr baseColWidth="10" defaultColWidth="14.44140625" defaultRowHeight="15" customHeight="1" x14ac:dyDescent="0.3"/>
  <cols>
    <col min="1" max="1" width="32" customWidth="1"/>
    <col min="2" max="3" width="10.5546875" customWidth="1"/>
    <col min="4" max="9" width="15" customWidth="1"/>
    <col min="10" max="11" width="15" hidden="1" customWidth="1"/>
    <col min="12" max="12" width="14.5546875" hidden="1" customWidth="1"/>
    <col min="13" max="13" width="15" hidden="1" customWidth="1"/>
    <col min="14" max="15" width="15" customWidth="1"/>
    <col min="16" max="17" width="10.5546875" customWidth="1"/>
  </cols>
  <sheetData>
    <row r="1" spans="1:17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7" x14ac:dyDescent="0.3">
      <c r="A2" s="5" t="s">
        <v>25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x14ac:dyDescent="0.3">
      <c r="A3" s="5" t="s">
        <v>1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7" x14ac:dyDescent="0.3">
      <c r="A4" s="5" t="s">
        <v>2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7" x14ac:dyDescent="0.3">
      <c r="A5" s="5" t="s">
        <v>3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7" x14ac:dyDescent="0.3">
      <c r="A6" s="5" t="s">
        <v>4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7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7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7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7" ht="14.4" x14ac:dyDescent="0.3">
      <c r="A10" s="286" t="s">
        <v>6</v>
      </c>
      <c r="B10" s="286" t="s">
        <v>7</v>
      </c>
      <c r="C10" s="288" t="s">
        <v>8</v>
      </c>
      <c r="D10" s="270" t="s">
        <v>26</v>
      </c>
      <c r="E10" s="282"/>
      <c r="F10" s="270" t="s">
        <v>9</v>
      </c>
      <c r="G10" s="271"/>
      <c r="H10" s="270" t="s">
        <v>10</v>
      </c>
      <c r="I10" s="271"/>
      <c r="J10" s="270"/>
      <c r="K10" s="271"/>
      <c r="L10" s="270"/>
      <c r="M10" s="282"/>
      <c r="N10" s="270" t="s">
        <v>12</v>
      </c>
      <c r="O10" s="271"/>
    </row>
    <row r="11" spans="1:17" ht="12" customHeight="1" x14ac:dyDescent="0.3">
      <c r="A11" s="287"/>
      <c r="B11" s="287"/>
      <c r="C11" s="287"/>
      <c r="D11" s="8" t="s">
        <v>13</v>
      </c>
      <c r="E11" s="9" t="s">
        <v>14</v>
      </c>
      <c r="F11" s="8" t="s">
        <v>13</v>
      </c>
      <c r="G11" s="10" t="s">
        <v>14</v>
      </c>
      <c r="H11" s="8" t="s">
        <v>13</v>
      </c>
      <c r="I11" s="10" t="s">
        <v>14</v>
      </c>
      <c r="J11" s="8" t="s">
        <v>13</v>
      </c>
      <c r="K11" s="10" t="s">
        <v>14</v>
      </c>
      <c r="L11" s="8" t="s">
        <v>13</v>
      </c>
      <c r="M11" s="9" t="s">
        <v>14</v>
      </c>
      <c r="N11" s="8" t="s">
        <v>13</v>
      </c>
      <c r="O11" s="10" t="s">
        <v>14</v>
      </c>
    </row>
    <row r="12" spans="1:17" ht="14.4" x14ac:dyDescent="0.3">
      <c r="A12" s="11" t="s">
        <v>27</v>
      </c>
      <c r="B12" s="12" t="s">
        <v>7</v>
      </c>
      <c r="C12" s="13">
        <v>29</v>
      </c>
      <c r="D12" s="14">
        <f>1850/1.21</f>
        <v>1528.9256198347107</v>
      </c>
      <c r="E12" s="15">
        <f t="shared" ref="E12:E28" si="0">D12*C12</f>
        <v>44338.842975206608</v>
      </c>
      <c r="F12" s="14">
        <v>953.85</v>
      </c>
      <c r="G12" s="16">
        <f t="shared" ref="G12:G28" si="1">F12*C12</f>
        <v>27661.65</v>
      </c>
      <c r="H12" s="14">
        <v>907.54</v>
      </c>
      <c r="I12" s="16">
        <f t="shared" ref="I12:I28" si="2">H12*C12</f>
        <v>26318.66</v>
      </c>
      <c r="J12" s="14"/>
      <c r="K12" s="16">
        <f t="shared" ref="K12:K28" si="3">J12*C12</f>
        <v>0</v>
      </c>
      <c r="L12" s="14"/>
      <c r="M12" s="15">
        <f t="shared" ref="M12:M28" si="4">L12*C12</f>
        <v>0</v>
      </c>
      <c r="N12" s="17">
        <f t="shared" ref="N12:N28" si="5">MIN(D12,F12,H12,L12,J12)</f>
        <v>907.54</v>
      </c>
      <c r="O12" s="18">
        <f t="shared" ref="O12:O28" si="6">N12*C12</f>
        <v>26318.66</v>
      </c>
      <c r="P12" s="19"/>
      <c r="Q12" s="20"/>
    </row>
    <row r="13" spans="1:17" ht="14.4" hidden="1" x14ac:dyDescent="0.3">
      <c r="A13" s="11"/>
      <c r="B13" s="12"/>
      <c r="C13" s="13"/>
      <c r="D13" s="14"/>
      <c r="E13" s="15">
        <f t="shared" si="0"/>
        <v>0</v>
      </c>
      <c r="F13" s="21"/>
      <c r="G13" s="16">
        <f t="shared" si="1"/>
        <v>0</v>
      </c>
      <c r="H13" s="21"/>
      <c r="I13" s="16">
        <f t="shared" si="2"/>
        <v>0</v>
      </c>
      <c r="J13" s="14"/>
      <c r="K13" s="16">
        <f t="shared" si="3"/>
        <v>0</v>
      </c>
      <c r="L13" s="14"/>
      <c r="M13" s="15">
        <f t="shared" si="4"/>
        <v>0</v>
      </c>
      <c r="N13" s="17">
        <f t="shared" si="5"/>
        <v>0</v>
      </c>
      <c r="O13" s="18">
        <f t="shared" si="6"/>
        <v>0</v>
      </c>
      <c r="P13" s="19"/>
      <c r="Q13" s="20"/>
    </row>
    <row r="14" spans="1:17" ht="14.4" hidden="1" x14ac:dyDescent="0.3">
      <c r="A14" s="11"/>
      <c r="B14" s="22"/>
      <c r="C14" s="13"/>
      <c r="D14" s="14"/>
      <c r="E14" s="15">
        <f t="shared" si="0"/>
        <v>0</v>
      </c>
      <c r="F14" s="21"/>
      <c r="G14" s="16">
        <f t="shared" si="1"/>
        <v>0</v>
      </c>
      <c r="H14" s="14"/>
      <c r="I14" s="16">
        <f t="shared" si="2"/>
        <v>0</v>
      </c>
      <c r="J14" s="21"/>
      <c r="K14" s="16">
        <f t="shared" si="3"/>
        <v>0</v>
      </c>
      <c r="L14" s="21"/>
      <c r="M14" s="15">
        <f t="shared" si="4"/>
        <v>0</v>
      </c>
      <c r="N14" s="17">
        <f t="shared" si="5"/>
        <v>0</v>
      </c>
      <c r="O14" s="18">
        <f t="shared" si="6"/>
        <v>0</v>
      </c>
      <c r="P14" s="19"/>
      <c r="Q14" s="20"/>
    </row>
    <row r="15" spans="1:17" ht="14.4" hidden="1" x14ac:dyDescent="0.3">
      <c r="A15" s="11"/>
      <c r="B15" s="22"/>
      <c r="C15" s="13"/>
      <c r="D15" s="14"/>
      <c r="E15" s="15">
        <f t="shared" si="0"/>
        <v>0</v>
      </c>
      <c r="F15" s="21"/>
      <c r="G15" s="16">
        <f t="shared" si="1"/>
        <v>0</v>
      </c>
      <c r="H15" s="21"/>
      <c r="I15" s="16">
        <f t="shared" si="2"/>
        <v>0</v>
      </c>
      <c r="J15" s="21"/>
      <c r="K15" s="16">
        <f t="shared" si="3"/>
        <v>0</v>
      </c>
      <c r="L15" s="21"/>
      <c r="M15" s="15">
        <f t="shared" si="4"/>
        <v>0</v>
      </c>
      <c r="N15" s="17">
        <f t="shared" si="5"/>
        <v>0</v>
      </c>
      <c r="O15" s="18">
        <f t="shared" si="6"/>
        <v>0</v>
      </c>
      <c r="P15" s="19"/>
      <c r="Q15" s="20"/>
    </row>
    <row r="16" spans="1:17" ht="14.4" hidden="1" x14ac:dyDescent="0.3">
      <c r="A16" s="11"/>
      <c r="B16" s="22"/>
      <c r="C16" s="13"/>
      <c r="D16" s="14"/>
      <c r="E16" s="15">
        <f t="shared" si="0"/>
        <v>0</v>
      </c>
      <c r="F16" s="21"/>
      <c r="G16" s="16">
        <f t="shared" si="1"/>
        <v>0</v>
      </c>
      <c r="H16" s="21"/>
      <c r="I16" s="16">
        <f t="shared" si="2"/>
        <v>0</v>
      </c>
      <c r="J16" s="21"/>
      <c r="K16" s="16">
        <f t="shared" si="3"/>
        <v>0</v>
      </c>
      <c r="L16" s="21"/>
      <c r="M16" s="15">
        <f t="shared" si="4"/>
        <v>0</v>
      </c>
      <c r="N16" s="17">
        <f t="shared" si="5"/>
        <v>0</v>
      </c>
      <c r="O16" s="18">
        <f t="shared" si="6"/>
        <v>0</v>
      </c>
      <c r="P16" s="19"/>
      <c r="Q16" s="20"/>
    </row>
    <row r="17" spans="1:17" ht="14.4" hidden="1" x14ac:dyDescent="0.3">
      <c r="A17" s="11"/>
      <c r="B17" s="22"/>
      <c r="C17" s="13"/>
      <c r="D17" s="14"/>
      <c r="E17" s="15">
        <f t="shared" si="0"/>
        <v>0</v>
      </c>
      <c r="F17" s="21"/>
      <c r="G17" s="16">
        <f t="shared" si="1"/>
        <v>0</v>
      </c>
      <c r="H17" s="21"/>
      <c r="I17" s="16">
        <f t="shared" si="2"/>
        <v>0</v>
      </c>
      <c r="J17" s="21"/>
      <c r="K17" s="16">
        <f t="shared" si="3"/>
        <v>0</v>
      </c>
      <c r="L17" s="21"/>
      <c r="M17" s="15">
        <f t="shared" si="4"/>
        <v>0</v>
      </c>
      <c r="N17" s="17">
        <f t="shared" si="5"/>
        <v>0</v>
      </c>
      <c r="O17" s="18">
        <f t="shared" si="6"/>
        <v>0</v>
      </c>
      <c r="P17" s="19"/>
      <c r="Q17" s="20"/>
    </row>
    <row r="18" spans="1:17" ht="14.4" hidden="1" x14ac:dyDescent="0.3">
      <c r="A18" s="11"/>
      <c r="B18" s="22"/>
      <c r="C18" s="13"/>
      <c r="D18" s="14"/>
      <c r="E18" s="15">
        <f t="shared" si="0"/>
        <v>0</v>
      </c>
      <c r="F18" s="21"/>
      <c r="G18" s="16">
        <f t="shared" si="1"/>
        <v>0</v>
      </c>
      <c r="H18" s="21"/>
      <c r="I18" s="16">
        <f t="shared" si="2"/>
        <v>0</v>
      </c>
      <c r="J18" s="21"/>
      <c r="K18" s="16">
        <f t="shared" si="3"/>
        <v>0</v>
      </c>
      <c r="L18" s="21"/>
      <c r="M18" s="15">
        <f t="shared" si="4"/>
        <v>0</v>
      </c>
      <c r="N18" s="17">
        <f t="shared" si="5"/>
        <v>0</v>
      </c>
      <c r="O18" s="18">
        <f t="shared" si="6"/>
        <v>0</v>
      </c>
      <c r="P18" s="19"/>
      <c r="Q18" s="20"/>
    </row>
    <row r="19" spans="1:17" ht="14.4" hidden="1" x14ac:dyDescent="0.3">
      <c r="A19" s="11"/>
      <c r="B19" s="22"/>
      <c r="C19" s="13"/>
      <c r="D19" s="14"/>
      <c r="E19" s="15">
        <f t="shared" si="0"/>
        <v>0</v>
      </c>
      <c r="F19" s="21"/>
      <c r="G19" s="16">
        <f t="shared" si="1"/>
        <v>0</v>
      </c>
      <c r="H19" s="21"/>
      <c r="I19" s="16">
        <f t="shared" si="2"/>
        <v>0</v>
      </c>
      <c r="J19" s="21"/>
      <c r="K19" s="16">
        <f t="shared" si="3"/>
        <v>0</v>
      </c>
      <c r="L19" s="21"/>
      <c r="M19" s="15">
        <f t="shared" si="4"/>
        <v>0</v>
      </c>
      <c r="N19" s="17">
        <f t="shared" si="5"/>
        <v>0</v>
      </c>
      <c r="O19" s="18">
        <f t="shared" si="6"/>
        <v>0</v>
      </c>
      <c r="P19" s="19"/>
      <c r="Q19" s="20"/>
    </row>
    <row r="20" spans="1:17" ht="14.4" hidden="1" x14ac:dyDescent="0.3">
      <c r="A20" s="11"/>
      <c r="B20" s="22"/>
      <c r="C20" s="13"/>
      <c r="D20" s="14"/>
      <c r="E20" s="15">
        <f t="shared" si="0"/>
        <v>0</v>
      </c>
      <c r="F20" s="21"/>
      <c r="G20" s="16">
        <f t="shared" si="1"/>
        <v>0</v>
      </c>
      <c r="H20" s="21"/>
      <c r="I20" s="16">
        <f t="shared" si="2"/>
        <v>0</v>
      </c>
      <c r="J20" s="21"/>
      <c r="K20" s="16">
        <f t="shared" si="3"/>
        <v>0</v>
      </c>
      <c r="L20" s="21"/>
      <c r="M20" s="15">
        <f t="shared" si="4"/>
        <v>0</v>
      </c>
      <c r="N20" s="17">
        <f t="shared" si="5"/>
        <v>0</v>
      </c>
      <c r="O20" s="18">
        <f t="shared" si="6"/>
        <v>0</v>
      </c>
      <c r="P20" s="19"/>
      <c r="Q20" s="20"/>
    </row>
    <row r="21" spans="1:17" ht="15.75" hidden="1" customHeight="1" x14ac:dyDescent="0.3">
      <c r="A21" s="11"/>
      <c r="B21" s="22"/>
      <c r="C21" s="13"/>
      <c r="D21" s="14"/>
      <c r="E21" s="15">
        <f t="shared" si="0"/>
        <v>0</v>
      </c>
      <c r="F21" s="21"/>
      <c r="G21" s="16">
        <f t="shared" si="1"/>
        <v>0</v>
      </c>
      <c r="H21" s="21"/>
      <c r="I21" s="16">
        <f t="shared" si="2"/>
        <v>0</v>
      </c>
      <c r="J21" s="21"/>
      <c r="K21" s="16">
        <f t="shared" si="3"/>
        <v>0</v>
      </c>
      <c r="L21" s="21"/>
      <c r="M21" s="15">
        <f t="shared" si="4"/>
        <v>0</v>
      </c>
      <c r="N21" s="17">
        <f t="shared" si="5"/>
        <v>0</v>
      </c>
      <c r="O21" s="18">
        <f t="shared" si="6"/>
        <v>0</v>
      </c>
      <c r="P21" s="19"/>
      <c r="Q21" s="20"/>
    </row>
    <row r="22" spans="1:17" ht="15.75" hidden="1" customHeight="1" x14ac:dyDescent="0.3">
      <c r="A22" s="11"/>
      <c r="B22" s="22"/>
      <c r="C22" s="13"/>
      <c r="D22" s="14"/>
      <c r="E22" s="15">
        <f t="shared" si="0"/>
        <v>0</v>
      </c>
      <c r="F22" s="21"/>
      <c r="G22" s="16">
        <f t="shared" si="1"/>
        <v>0</v>
      </c>
      <c r="H22" s="21"/>
      <c r="I22" s="16">
        <f t="shared" si="2"/>
        <v>0</v>
      </c>
      <c r="J22" s="21"/>
      <c r="K22" s="16">
        <f t="shared" si="3"/>
        <v>0</v>
      </c>
      <c r="L22" s="21"/>
      <c r="M22" s="15">
        <f t="shared" si="4"/>
        <v>0</v>
      </c>
      <c r="N22" s="17">
        <f t="shared" si="5"/>
        <v>0</v>
      </c>
      <c r="O22" s="18">
        <f t="shared" si="6"/>
        <v>0</v>
      </c>
      <c r="P22" s="19"/>
      <c r="Q22" s="20"/>
    </row>
    <row r="23" spans="1:17" ht="15.75" hidden="1" customHeight="1" x14ac:dyDescent="0.3">
      <c r="A23" s="11"/>
      <c r="B23" s="22"/>
      <c r="C23" s="13"/>
      <c r="D23" s="14"/>
      <c r="E23" s="15">
        <f t="shared" si="0"/>
        <v>0</v>
      </c>
      <c r="F23" s="21"/>
      <c r="G23" s="16">
        <f t="shared" si="1"/>
        <v>0</v>
      </c>
      <c r="H23" s="21"/>
      <c r="I23" s="16">
        <f t="shared" si="2"/>
        <v>0</v>
      </c>
      <c r="J23" s="21"/>
      <c r="K23" s="16">
        <f t="shared" si="3"/>
        <v>0</v>
      </c>
      <c r="L23" s="21"/>
      <c r="M23" s="15">
        <f t="shared" si="4"/>
        <v>0</v>
      </c>
      <c r="N23" s="17">
        <f t="shared" si="5"/>
        <v>0</v>
      </c>
      <c r="O23" s="18">
        <f t="shared" si="6"/>
        <v>0</v>
      </c>
      <c r="P23" s="19"/>
      <c r="Q23" s="20"/>
    </row>
    <row r="24" spans="1:17" ht="15.75" hidden="1" customHeight="1" x14ac:dyDescent="0.3">
      <c r="A24" s="11"/>
      <c r="B24" s="22"/>
      <c r="C24" s="13"/>
      <c r="D24" s="14"/>
      <c r="E24" s="15">
        <f t="shared" si="0"/>
        <v>0</v>
      </c>
      <c r="F24" s="21"/>
      <c r="G24" s="16">
        <f t="shared" si="1"/>
        <v>0</v>
      </c>
      <c r="H24" s="21"/>
      <c r="I24" s="16">
        <f t="shared" si="2"/>
        <v>0</v>
      </c>
      <c r="J24" s="21"/>
      <c r="K24" s="16">
        <f t="shared" si="3"/>
        <v>0</v>
      </c>
      <c r="L24" s="21"/>
      <c r="M24" s="15">
        <f t="shared" si="4"/>
        <v>0</v>
      </c>
      <c r="N24" s="17">
        <f t="shared" si="5"/>
        <v>0</v>
      </c>
      <c r="O24" s="18">
        <f t="shared" si="6"/>
        <v>0</v>
      </c>
      <c r="P24" s="19"/>
      <c r="Q24" s="20"/>
    </row>
    <row r="25" spans="1:17" ht="15.75" hidden="1" customHeight="1" x14ac:dyDescent="0.3">
      <c r="A25" s="11"/>
      <c r="B25" s="22"/>
      <c r="C25" s="13"/>
      <c r="D25" s="14"/>
      <c r="E25" s="15">
        <f t="shared" si="0"/>
        <v>0</v>
      </c>
      <c r="F25" s="21"/>
      <c r="G25" s="16">
        <f t="shared" si="1"/>
        <v>0</v>
      </c>
      <c r="H25" s="21"/>
      <c r="I25" s="16">
        <f t="shared" si="2"/>
        <v>0</v>
      </c>
      <c r="J25" s="21"/>
      <c r="K25" s="16">
        <f t="shared" si="3"/>
        <v>0</v>
      </c>
      <c r="L25" s="21"/>
      <c r="M25" s="15">
        <f t="shared" si="4"/>
        <v>0</v>
      </c>
      <c r="N25" s="17">
        <f t="shared" si="5"/>
        <v>0</v>
      </c>
      <c r="O25" s="18">
        <f t="shared" si="6"/>
        <v>0</v>
      </c>
      <c r="P25" s="19"/>
      <c r="Q25" s="20"/>
    </row>
    <row r="26" spans="1:17" ht="15.75" hidden="1" customHeight="1" x14ac:dyDescent="0.3">
      <c r="A26" s="11"/>
      <c r="B26" s="22"/>
      <c r="C26" s="13"/>
      <c r="D26" s="14"/>
      <c r="E26" s="15">
        <f t="shared" si="0"/>
        <v>0</v>
      </c>
      <c r="F26" s="21"/>
      <c r="G26" s="16">
        <f t="shared" si="1"/>
        <v>0</v>
      </c>
      <c r="H26" s="21"/>
      <c r="I26" s="16">
        <f t="shared" si="2"/>
        <v>0</v>
      </c>
      <c r="J26" s="21"/>
      <c r="K26" s="16">
        <f t="shared" si="3"/>
        <v>0</v>
      </c>
      <c r="L26" s="21"/>
      <c r="M26" s="15">
        <f t="shared" si="4"/>
        <v>0</v>
      </c>
      <c r="N26" s="17">
        <f t="shared" si="5"/>
        <v>0</v>
      </c>
      <c r="O26" s="18">
        <f t="shared" si="6"/>
        <v>0</v>
      </c>
      <c r="P26" s="19"/>
      <c r="Q26" s="20"/>
    </row>
    <row r="27" spans="1:17" ht="15.75" customHeight="1" x14ac:dyDescent="0.3">
      <c r="A27" s="11" t="s">
        <v>28</v>
      </c>
      <c r="B27" s="22" t="s">
        <v>7</v>
      </c>
      <c r="C27" s="13">
        <v>29</v>
      </c>
      <c r="D27" s="14">
        <f>2280/1.21</f>
        <v>1884.297520661157</v>
      </c>
      <c r="E27" s="15">
        <f t="shared" si="0"/>
        <v>54644.628099173555</v>
      </c>
      <c r="F27" s="21">
        <v>1664.62</v>
      </c>
      <c r="G27" s="16">
        <f t="shared" si="1"/>
        <v>48273.979999999996</v>
      </c>
      <c r="H27" s="21">
        <v>1121.2</v>
      </c>
      <c r="I27" s="16">
        <f t="shared" si="2"/>
        <v>32514.800000000003</v>
      </c>
      <c r="J27" s="21"/>
      <c r="K27" s="16">
        <f t="shared" si="3"/>
        <v>0</v>
      </c>
      <c r="L27" s="21"/>
      <c r="M27" s="15">
        <f t="shared" si="4"/>
        <v>0</v>
      </c>
      <c r="N27" s="17">
        <f t="shared" si="5"/>
        <v>1121.2</v>
      </c>
      <c r="O27" s="18">
        <f t="shared" si="6"/>
        <v>32514.800000000003</v>
      </c>
      <c r="P27" s="19"/>
      <c r="Q27" s="20"/>
    </row>
    <row r="28" spans="1:17" ht="15.75" customHeight="1" x14ac:dyDescent="0.3">
      <c r="A28" s="23"/>
      <c r="B28" s="24"/>
      <c r="C28" s="25"/>
      <c r="D28" s="26"/>
      <c r="E28" s="27">
        <f t="shared" si="0"/>
        <v>0</v>
      </c>
      <c r="F28" s="28"/>
      <c r="G28" s="29">
        <f t="shared" si="1"/>
        <v>0</v>
      </c>
      <c r="H28" s="28"/>
      <c r="I28" s="29">
        <f t="shared" si="2"/>
        <v>0</v>
      </c>
      <c r="J28" s="28"/>
      <c r="K28" s="29">
        <f t="shared" si="3"/>
        <v>0</v>
      </c>
      <c r="L28" s="28"/>
      <c r="M28" s="27">
        <f t="shared" si="4"/>
        <v>0</v>
      </c>
      <c r="N28" s="30">
        <f t="shared" si="5"/>
        <v>0</v>
      </c>
      <c r="O28" s="31">
        <f t="shared" si="6"/>
        <v>0</v>
      </c>
      <c r="P28" s="19"/>
      <c r="Q28" s="20"/>
    </row>
    <row r="29" spans="1:17" ht="15.75" customHeight="1" x14ac:dyDescent="0.3">
      <c r="A29" s="272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4"/>
    </row>
    <row r="30" spans="1:17" ht="15.75" customHeight="1" x14ac:dyDescent="0.3">
      <c r="A30" s="32" t="s">
        <v>17</v>
      </c>
      <c r="B30" s="274"/>
      <c r="C30" s="275"/>
      <c r="D30" s="33"/>
      <c r="E30" s="34">
        <f>+SUM(E12:E27)</f>
        <v>98983.471074380155</v>
      </c>
      <c r="F30" s="35"/>
      <c r="G30" s="34">
        <f>+SUM(G12:G27)</f>
        <v>75935.63</v>
      </c>
      <c r="H30" s="35"/>
      <c r="I30" s="34">
        <f>SUM(I12:I27)</f>
        <v>58833.460000000006</v>
      </c>
      <c r="J30" s="35"/>
      <c r="K30" s="34">
        <f>+SUM(K12:K28)</f>
        <v>0</v>
      </c>
      <c r="L30" s="35"/>
      <c r="M30" s="34">
        <f>+SUM(M12:M26)</f>
        <v>0</v>
      </c>
      <c r="N30" s="36"/>
      <c r="O30" s="34">
        <f>+SUM(O12:O27)</f>
        <v>58833.460000000006</v>
      </c>
    </row>
    <row r="31" spans="1:17" ht="15.75" customHeight="1" x14ac:dyDescent="0.3">
      <c r="A31" s="37"/>
      <c r="B31" s="38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</row>
    <row r="32" spans="1:17" ht="15.75" customHeight="1" x14ac:dyDescent="0.3">
      <c r="A32" s="40" t="s">
        <v>18</v>
      </c>
      <c r="B32" s="276"/>
      <c r="C32" s="271"/>
      <c r="D32" s="41">
        <v>0</v>
      </c>
      <c r="E32" s="42">
        <f>+E30*D32</f>
        <v>0</v>
      </c>
      <c r="F32" s="41">
        <v>0</v>
      </c>
      <c r="G32" s="43">
        <f>+G30*F32</f>
        <v>0</v>
      </c>
      <c r="H32" s="41">
        <v>0</v>
      </c>
      <c r="I32" s="42">
        <f>+I30*H32</f>
        <v>0</v>
      </c>
      <c r="J32" s="41">
        <v>0</v>
      </c>
      <c r="K32" s="43">
        <f>+K30*J32</f>
        <v>0</v>
      </c>
      <c r="L32" s="41">
        <v>0</v>
      </c>
      <c r="M32" s="43">
        <f>+M30*L32</f>
        <v>0</v>
      </c>
      <c r="N32" s="44"/>
      <c r="O32" s="43">
        <f>+O30*N32</f>
        <v>0</v>
      </c>
    </row>
    <row r="33" spans="1:15" ht="15.75" customHeight="1" x14ac:dyDescent="0.3">
      <c r="A33" s="45" t="s">
        <v>19</v>
      </c>
      <c r="B33" s="277">
        <v>1</v>
      </c>
      <c r="C33" s="278"/>
      <c r="D33" s="46"/>
      <c r="E33" s="47"/>
      <c r="F33" s="46"/>
      <c r="G33" s="48"/>
      <c r="H33" s="46"/>
      <c r="I33" s="47"/>
      <c r="J33" s="46"/>
      <c r="K33" s="48"/>
      <c r="L33" s="46"/>
      <c r="M33" s="48"/>
      <c r="N33" s="49"/>
      <c r="O33" s="48"/>
    </row>
    <row r="34" spans="1:15" ht="15.75" customHeight="1" x14ac:dyDescent="0.3">
      <c r="A34" s="45" t="s">
        <v>20</v>
      </c>
      <c r="B34" s="277"/>
      <c r="C34" s="278"/>
      <c r="D34" s="46"/>
      <c r="E34" s="47">
        <f>+E30-E32</f>
        <v>98983.471074380155</v>
      </c>
      <c r="F34" s="46"/>
      <c r="G34" s="48">
        <f>+G30-G32</f>
        <v>75935.63</v>
      </c>
      <c r="H34" s="46"/>
      <c r="I34" s="47">
        <f>+I30-I32</f>
        <v>58833.460000000006</v>
      </c>
      <c r="J34" s="46"/>
      <c r="K34" s="48">
        <f>+K30-K32</f>
        <v>0</v>
      </c>
      <c r="L34" s="46"/>
      <c r="M34" s="48">
        <f>+M30-M32</f>
        <v>0</v>
      </c>
      <c r="N34" s="49"/>
      <c r="O34" s="48">
        <f>+O30-O32</f>
        <v>58833.460000000006</v>
      </c>
    </row>
    <row r="35" spans="1:15" ht="15.75" customHeight="1" x14ac:dyDescent="0.3">
      <c r="A35" s="45" t="s">
        <v>21</v>
      </c>
      <c r="B35" s="279">
        <v>0.21</v>
      </c>
      <c r="C35" s="278"/>
      <c r="D35" s="46"/>
      <c r="E35" s="47">
        <f>+E34*$B$35</f>
        <v>20786.52892561983</v>
      </c>
      <c r="F35" s="46"/>
      <c r="G35" s="48">
        <f>+G34*$B$35</f>
        <v>15946.4823</v>
      </c>
      <c r="H35" s="46"/>
      <c r="I35" s="47">
        <f>+I34*$B$35</f>
        <v>12355.026600000001</v>
      </c>
      <c r="J35" s="46"/>
      <c r="K35" s="48">
        <f>+K34*$B$35</f>
        <v>0</v>
      </c>
      <c r="L35" s="46"/>
      <c r="M35" s="48">
        <f>+M34*$B$35</f>
        <v>0</v>
      </c>
      <c r="N35" s="49"/>
      <c r="O35" s="48">
        <f>O34*B35</f>
        <v>12355.026600000001</v>
      </c>
    </row>
    <row r="36" spans="1:15" ht="15.75" customHeight="1" x14ac:dyDescent="0.3">
      <c r="A36" s="50" t="s">
        <v>22</v>
      </c>
      <c r="B36" s="51"/>
      <c r="C36" s="52"/>
      <c r="D36" s="53"/>
      <c r="E36" s="54"/>
      <c r="F36" s="53"/>
      <c r="G36" s="55"/>
      <c r="H36" s="53"/>
      <c r="I36" s="54"/>
      <c r="J36" s="53"/>
      <c r="K36" s="55"/>
      <c r="L36" s="53"/>
      <c r="M36" s="55"/>
      <c r="N36" s="56"/>
      <c r="O36" s="55"/>
    </row>
    <row r="37" spans="1:15" ht="15.75" customHeight="1" x14ac:dyDescent="0.3">
      <c r="A37" s="57"/>
      <c r="B37" s="58"/>
      <c r="C37" s="59"/>
      <c r="D37" s="60"/>
      <c r="E37" s="61"/>
      <c r="F37" s="60"/>
      <c r="G37" s="62"/>
      <c r="H37" s="60"/>
      <c r="I37" s="61"/>
      <c r="J37" s="63"/>
      <c r="K37" s="64"/>
      <c r="L37" s="63"/>
      <c r="M37" s="64"/>
      <c r="N37" s="65"/>
      <c r="O37" s="62"/>
    </row>
    <row r="38" spans="1:15" ht="15.75" customHeight="1" x14ac:dyDescent="0.3">
      <c r="A38" s="37"/>
      <c r="B38" s="38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</row>
    <row r="39" spans="1:15" ht="15.75" customHeight="1" x14ac:dyDescent="0.3">
      <c r="A39" s="66" t="s">
        <v>23</v>
      </c>
      <c r="B39" s="67"/>
      <c r="C39" s="68"/>
      <c r="D39" s="69"/>
      <c r="E39" s="70">
        <f>+E34+E35+E36</f>
        <v>119769.99999999999</v>
      </c>
      <c r="F39" s="71"/>
      <c r="G39" s="70">
        <f>+G34+G35+G36</f>
        <v>91882.112300000008</v>
      </c>
      <c r="H39" s="71"/>
      <c r="I39" s="70">
        <f>+I34+I35+I36</f>
        <v>71188.486600000004</v>
      </c>
      <c r="J39" s="71"/>
      <c r="K39" s="70">
        <f>+K34+K35+K36</f>
        <v>0</v>
      </c>
      <c r="L39" s="71"/>
      <c r="M39" s="70">
        <f>+M34+M35+M36</f>
        <v>0</v>
      </c>
      <c r="N39" s="69"/>
      <c r="O39" s="72">
        <f>SUM(O34:O35)</f>
        <v>71188.486600000004</v>
      </c>
    </row>
    <row r="40" spans="1:15" ht="37.5" customHeight="1" x14ac:dyDescent="0.3">
      <c r="A40" s="73" t="s">
        <v>24</v>
      </c>
      <c r="B40" s="280"/>
      <c r="C40" s="269"/>
      <c r="D40" s="281"/>
      <c r="E40" s="267"/>
      <c r="F40" s="266"/>
      <c r="G40" s="269"/>
      <c r="H40" s="266"/>
      <c r="I40" s="267"/>
      <c r="J40" s="266"/>
      <c r="K40" s="267"/>
      <c r="L40" s="266"/>
      <c r="M40" s="267"/>
      <c r="N40" s="268"/>
      <c r="O40" s="269"/>
    </row>
    <row r="41" spans="1:15" ht="15.75" customHeight="1" x14ac:dyDescent="0.3">
      <c r="H41" s="74"/>
    </row>
    <row r="42" spans="1:15" ht="15.75" customHeight="1" x14ac:dyDescent="0.3"/>
    <row r="43" spans="1:15" ht="15.75" customHeight="1" x14ac:dyDescent="0.3"/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A8:O8"/>
    <mergeCell ref="A10:A11"/>
    <mergeCell ref="B10:B11"/>
    <mergeCell ref="C10:C11"/>
    <mergeCell ref="D10:E10"/>
    <mergeCell ref="F10:G10"/>
    <mergeCell ref="N10:O10"/>
    <mergeCell ref="L40:M40"/>
    <mergeCell ref="N40:O40"/>
    <mergeCell ref="H10:I10"/>
    <mergeCell ref="A29:N29"/>
    <mergeCell ref="B30:C30"/>
    <mergeCell ref="B32:C32"/>
    <mergeCell ref="B33:C33"/>
    <mergeCell ref="B34:C34"/>
    <mergeCell ref="B35:C35"/>
    <mergeCell ref="B40:C40"/>
    <mergeCell ref="D40:E40"/>
    <mergeCell ref="F40:G40"/>
    <mergeCell ref="H40:I40"/>
    <mergeCell ref="J40:K40"/>
    <mergeCell ref="J10:K10"/>
    <mergeCell ref="L10:M10"/>
  </mergeCells>
  <pageMargins left="0.25" right="0.25" top="0.75" bottom="0.75" header="0" footer="0"/>
  <pageSetup paperSize="9"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4.44140625" defaultRowHeight="15" customHeight="1" x14ac:dyDescent="0.3"/>
  <cols>
    <col min="1" max="1" width="22.88671875" customWidth="1"/>
    <col min="2" max="3" width="10.5546875" customWidth="1"/>
    <col min="4" max="11" width="15" customWidth="1"/>
    <col min="12" max="12" width="14.5546875" customWidth="1"/>
    <col min="13" max="15" width="15" customWidth="1"/>
    <col min="16" max="17" width="10.5546875" customWidth="1"/>
  </cols>
  <sheetData>
    <row r="1" spans="1:17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7" x14ac:dyDescent="0.3">
      <c r="A2" s="5" t="s">
        <v>29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x14ac:dyDescent="0.3">
      <c r="A3" s="5" t="s">
        <v>1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7" x14ac:dyDescent="0.3">
      <c r="A4" s="5" t="s">
        <v>2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7" x14ac:dyDescent="0.3">
      <c r="A5" s="5" t="s">
        <v>3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7" x14ac:dyDescent="0.3">
      <c r="A6" s="5" t="s">
        <v>30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7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7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7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7" ht="14.4" x14ac:dyDescent="0.3">
      <c r="A10" s="286" t="s">
        <v>6</v>
      </c>
      <c r="B10" s="286" t="s">
        <v>7</v>
      </c>
      <c r="C10" s="293" t="s">
        <v>8</v>
      </c>
      <c r="D10" s="270" t="s">
        <v>31</v>
      </c>
      <c r="E10" s="291"/>
      <c r="F10" s="290" t="s">
        <v>32</v>
      </c>
      <c r="G10" s="291"/>
      <c r="H10" s="290" t="s">
        <v>33</v>
      </c>
      <c r="I10" s="271"/>
      <c r="J10" s="270" t="s">
        <v>34</v>
      </c>
      <c r="K10" s="271"/>
      <c r="L10" s="270" t="s">
        <v>35</v>
      </c>
      <c r="M10" s="291"/>
      <c r="N10" s="270" t="s">
        <v>12</v>
      </c>
      <c r="O10" s="271"/>
    </row>
    <row r="11" spans="1:17" ht="16.5" customHeight="1" x14ac:dyDescent="0.3">
      <c r="A11" s="292"/>
      <c r="B11" s="292"/>
      <c r="C11" s="294"/>
      <c r="D11" s="75" t="s">
        <v>13</v>
      </c>
      <c r="E11" s="76" t="s">
        <v>14</v>
      </c>
      <c r="F11" s="76" t="s">
        <v>13</v>
      </c>
      <c r="G11" s="76" t="s">
        <v>14</v>
      </c>
      <c r="H11" s="76" t="s">
        <v>13</v>
      </c>
      <c r="I11" s="77" t="s">
        <v>14</v>
      </c>
      <c r="J11" s="75" t="s">
        <v>13</v>
      </c>
      <c r="K11" s="77" t="s">
        <v>14</v>
      </c>
      <c r="L11" s="75" t="s">
        <v>13</v>
      </c>
      <c r="M11" s="78" t="s">
        <v>14</v>
      </c>
      <c r="N11" s="75" t="s">
        <v>13</v>
      </c>
      <c r="O11" s="77" t="s">
        <v>14</v>
      </c>
    </row>
    <row r="12" spans="1:17" ht="14.4" x14ac:dyDescent="0.3">
      <c r="A12" s="79" t="s">
        <v>36</v>
      </c>
      <c r="B12" s="80" t="s">
        <v>37</v>
      </c>
      <c r="C12" s="81">
        <v>15</v>
      </c>
      <c r="D12" s="82">
        <f>16835.21/1.21</f>
        <v>13913.396694214876</v>
      </c>
      <c r="E12" s="83">
        <f t="shared" ref="E12:E26" si="0">D12*C12</f>
        <v>208700.95041322315</v>
      </c>
      <c r="F12" s="82">
        <f>11000/1.21</f>
        <v>9090.9090909090919</v>
      </c>
      <c r="G12" s="84">
        <f t="shared" ref="G12:G26" si="1">F12*C12</f>
        <v>136363.63636363638</v>
      </c>
      <c r="H12" s="82">
        <f>11862.49</f>
        <v>11862.49</v>
      </c>
      <c r="I12" s="84">
        <f t="shared" ref="I12:I26" si="2">H12*C12</f>
        <v>177937.35</v>
      </c>
      <c r="J12" s="82">
        <f>16719.78/1.21</f>
        <v>13818</v>
      </c>
      <c r="K12" s="84">
        <f>J12*C12</f>
        <v>207270</v>
      </c>
      <c r="L12" s="82"/>
      <c r="M12" s="83">
        <f t="shared" ref="M12:M26" si="3">L12*C12</f>
        <v>0</v>
      </c>
      <c r="N12" s="85">
        <f t="shared" ref="N12:N15" si="4">MIN(D12,F12,H12,L12,J12)</f>
        <v>9090.9090909090919</v>
      </c>
      <c r="O12" s="86">
        <f t="shared" ref="O12:O26" si="5">N12*C12</f>
        <v>136363.63636363638</v>
      </c>
      <c r="P12" s="19"/>
      <c r="Q12" s="20"/>
    </row>
    <row r="13" spans="1:17" ht="14.4" x14ac:dyDescent="0.3">
      <c r="A13" s="11" t="s">
        <v>38</v>
      </c>
      <c r="B13" s="12" t="s">
        <v>39</v>
      </c>
      <c r="C13" s="13">
        <v>40</v>
      </c>
      <c r="D13" s="14">
        <f>8433/1.21</f>
        <v>6969.4214876033056</v>
      </c>
      <c r="E13" s="15">
        <f t="shared" si="0"/>
        <v>278776.85950413224</v>
      </c>
      <c r="F13" s="21">
        <f>7290/1.21</f>
        <v>6024.7933884297527</v>
      </c>
      <c r="G13" s="16">
        <f t="shared" si="1"/>
        <v>240991.73553719011</v>
      </c>
      <c r="H13" s="21">
        <f>6675.89</f>
        <v>6675.89</v>
      </c>
      <c r="I13" s="16">
        <f t="shared" si="2"/>
        <v>267035.60000000003</v>
      </c>
      <c r="J13" s="14">
        <f>7303.56/1.21</f>
        <v>6036.0000000000009</v>
      </c>
      <c r="K13" s="16">
        <f>J13*1</f>
        <v>6036.0000000000009</v>
      </c>
      <c r="L13" s="14">
        <v>5933.8879999999999</v>
      </c>
      <c r="M13" s="15">
        <f t="shared" si="3"/>
        <v>237355.51999999999</v>
      </c>
      <c r="N13" s="85">
        <f t="shared" si="4"/>
        <v>5933.8879999999999</v>
      </c>
      <c r="O13" s="18">
        <f t="shared" si="5"/>
        <v>237355.51999999999</v>
      </c>
      <c r="P13" s="19"/>
      <c r="Q13" s="20"/>
    </row>
    <row r="14" spans="1:17" ht="14.4" x14ac:dyDescent="0.3">
      <c r="A14" s="11" t="s">
        <v>40</v>
      </c>
      <c r="B14" s="22" t="s">
        <v>39</v>
      </c>
      <c r="C14" s="13">
        <v>150</v>
      </c>
      <c r="D14" s="14">
        <f>6089/1.21</f>
        <v>5032.2314049586776</v>
      </c>
      <c r="E14" s="15">
        <f t="shared" si="0"/>
        <v>754834.71074380167</v>
      </c>
      <c r="F14" s="21">
        <f>5860/1.21</f>
        <v>4842.9752066115707</v>
      </c>
      <c r="G14" s="16">
        <f t="shared" si="1"/>
        <v>726446.28099173564</v>
      </c>
      <c r="H14" s="21">
        <v>4838.28</v>
      </c>
      <c r="I14" s="16">
        <f t="shared" si="2"/>
        <v>725742</v>
      </c>
      <c r="J14" s="21">
        <f>5354.086/1.21</f>
        <v>4424.8644628099173</v>
      </c>
      <c r="K14" s="16">
        <f t="shared" ref="K14:K26" si="6">J14*C14</f>
        <v>663729.6694214876</v>
      </c>
      <c r="L14" s="21">
        <v>4390.326</v>
      </c>
      <c r="M14" s="15">
        <f t="shared" si="3"/>
        <v>658548.9</v>
      </c>
      <c r="N14" s="85">
        <f t="shared" si="4"/>
        <v>4390.326</v>
      </c>
      <c r="O14" s="18">
        <f t="shared" si="5"/>
        <v>658548.9</v>
      </c>
      <c r="P14" s="19"/>
      <c r="Q14" s="20"/>
    </row>
    <row r="15" spans="1:17" ht="14.4" x14ac:dyDescent="0.3">
      <c r="A15" s="11" t="s">
        <v>41</v>
      </c>
      <c r="B15" s="22" t="s">
        <v>42</v>
      </c>
      <c r="C15" s="13">
        <v>8.5</v>
      </c>
      <c r="D15" s="14">
        <f>594.17/1.21*126</f>
        <v>61872.247933884297</v>
      </c>
      <c r="E15" s="15">
        <f t="shared" si="0"/>
        <v>525914.10743801657</v>
      </c>
      <c r="F15" s="21">
        <f>587.07/1.21*126</f>
        <v>61132.909090909096</v>
      </c>
      <c r="G15" s="16">
        <f t="shared" si="1"/>
        <v>519629.72727272729</v>
      </c>
      <c r="H15" s="21">
        <f>536.17*126</f>
        <v>67557.42</v>
      </c>
      <c r="I15" s="16">
        <f t="shared" si="2"/>
        <v>574238.06999999995</v>
      </c>
      <c r="J15" s="21">
        <f>583486.15/1.21/C15</f>
        <v>56731.759844433647</v>
      </c>
      <c r="K15" s="16">
        <f t="shared" si="6"/>
        <v>482219.95867768599</v>
      </c>
      <c r="L15" s="21">
        <f>(433156.85+82299.8)/C15</f>
        <v>60641.958823529407</v>
      </c>
      <c r="M15" s="15">
        <f t="shared" si="3"/>
        <v>515456.64999999997</v>
      </c>
      <c r="N15" s="85">
        <f t="shared" si="4"/>
        <v>56731.759844433647</v>
      </c>
      <c r="O15" s="18">
        <f t="shared" si="5"/>
        <v>482219.95867768599</v>
      </c>
      <c r="P15" s="19"/>
      <c r="Q15" s="20"/>
    </row>
    <row r="16" spans="1:17" ht="14.4" x14ac:dyDescent="0.3">
      <c r="A16" s="11" t="s">
        <v>43</v>
      </c>
      <c r="B16" s="22"/>
      <c r="C16" s="13">
        <v>4</v>
      </c>
      <c r="D16" s="14">
        <f>8000/1.21</f>
        <v>6611.5702479338843</v>
      </c>
      <c r="E16" s="15">
        <f t="shared" si="0"/>
        <v>26446.280991735537</v>
      </c>
      <c r="F16" s="21"/>
      <c r="G16" s="16">
        <f t="shared" si="1"/>
        <v>0</v>
      </c>
      <c r="H16" s="21"/>
      <c r="I16" s="16">
        <f t="shared" si="2"/>
        <v>0</v>
      </c>
      <c r="J16" s="21"/>
      <c r="K16" s="16">
        <f t="shared" si="6"/>
        <v>0</v>
      </c>
      <c r="L16" s="21"/>
      <c r="M16" s="15">
        <f t="shared" si="3"/>
        <v>0</v>
      </c>
      <c r="N16" s="85"/>
      <c r="O16" s="18">
        <f t="shared" si="5"/>
        <v>0</v>
      </c>
      <c r="P16" s="19"/>
      <c r="Q16" s="20"/>
    </row>
    <row r="17" spans="1:17" ht="14.4" x14ac:dyDescent="0.3">
      <c r="A17" s="11" t="s">
        <v>44</v>
      </c>
      <c r="B17" s="22"/>
      <c r="C17" s="13">
        <v>2</v>
      </c>
      <c r="D17" s="14">
        <f>6999.99/1.21</f>
        <v>5785.1157024793392</v>
      </c>
      <c r="E17" s="15">
        <f t="shared" si="0"/>
        <v>11570.231404958678</v>
      </c>
      <c r="F17" s="21"/>
      <c r="G17" s="16">
        <f t="shared" si="1"/>
        <v>0</v>
      </c>
      <c r="H17" s="21"/>
      <c r="I17" s="16">
        <f t="shared" si="2"/>
        <v>0</v>
      </c>
      <c r="J17" s="21"/>
      <c r="K17" s="16">
        <f t="shared" si="6"/>
        <v>0</v>
      </c>
      <c r="L17" s="21"/>
      <c r="M17" s="15">
        <f t="shared" si="3"/>
        <v>0</v>
      </c>
      <c r="N17" s="85"/>
      <c r="O17" s="18">
        <f t="shared" si="5"/>
        <v>0</v>
      </c>
      <c r="P17" s="19"/>
      <c r="Q17" s="20"/>
    </row>
    <row r="18" spans="1:17" ht="14.4" hidden="1" x14ac:dyDescent="0.3">
      <c r="A18" s="11"/>
      <c r="B18" s="22"/>
      <c r="C18" s="13"/>
      <c r="D18" s="14"/>
      <c r="E18" s="15">
        <f t="shared" si="0"/>
        <v>0</v>
      </c>
      <c r="F18" s="21"/>
      <c r="G18" s="16">
        <f t="shared" si="1"/>
        <v>0</v>
      </c>
      <c r="H18" s="21"/>
      <c r="I18" s="16">
        <f t="shared" si="2"/>
        <v>0</v>
      </c>
      <c r="J18" s="21"/>
      <c r="K18" s="16">
        <f t="shared" si="6"/>
        <v>0</v>
      </c>
      <c r="L18" s="21"/>
      <c r="M18" s="15">
        <f t="shared" si="3"/>
        <v>0</v>
      </c>
      <c r="N18" s="85"/>
      <c r="O18" s="18">
        <f t="shared" si="5"/>
        <v>0</v>
      </c>
      <c r="P18" s="19"/>
      <c r="Q18" s="20"/>
    </row>
    <row r="19" spans="1:17" ht="14.4" hidden="1" x14ac:dyDescent="0.3">
      <c r="A19" s="11"/>
      <c r="B19" s="22"/>
      <c r="C19" s="13"/>
      <c r="D19" s="14"/>
      <c r="E19" s="15">
        <f t="shared" si="0"/>
        <v>0</v>
      </c>
      <c r="F19" s="21"/>
      <c r="G19" s="16">
        <f t="shared" si="1"/>
        <v>0</v>
      </c>
      <c r="H19" s="21"/>
      <c r="I19" s="16">
        <f t="shared" si="2"/>
        <v>0</v>
      </c>
      <c r="J19" s="21"/>
      <c r="K19" s="16">
        <f t="shared" si="6"/>
        <v>0</v>
      </c>
      <c r="L19" s="21"/>
      <c r="M19" s="15">
        <f t="shared" si="3"/>
        <v>0</v>
      </c>
      <c r="N19" s="85"/>
      <c r="O19" s="18">
        <f t="shared" si="5"/>
        <v>0</v>
      </c>
      <c r="P19" s="19"/>
      <c r="Q19" s="20"/>
    </row>
    <row r="20" spans="1:17" ht="14.4" hidden="1" x14ac:dyDescent="0.3">
      <c r="A20" s="11"/>
      <c r="B20" s="22"/>
      <c r="C20" s="13"/>
      <c r="D20" s="14"/>
      <c r="E20" s="15">
        <f t="shared" si="0"/>
        <v>0</v>
      </c>
      <c r="F20" s="21"/>
      <c r="G20" s="16">
        <f t="shared" si="1"/>
        <v>0</v>
      </c>
      <c r="H20" s="21"/>
      <c r="I20" s="16">
        <f t="shared" si="2"/>
        <v>0</v>
      </c>
      <c r="J20" s="21"/>
      <c r="K20" s="16">
        <f t="shared" si="6"/>
        <v>0</v>
      </c>
      <c r="L20" s="21"/>
      <c r="M20" s="15">
        <f t="shared" si="3"/>
        <v>0</v>
      </c>
      <c r="N20" s="85"/>
      <c r="O20" s="18">
        <f t="shared" si="5"/>
        <v>0</v>
      </c>
      <c r="P20" s="19"/>
      <c r="Q20" s="20"/>
    </row>
    <row r="21" spans="1:17" ht="15.75" hidden="1" customHeight="1" x14ac:dyDescent="0.3">
      <c r="A21" s="11"/>
      <c r="B21" s="22"/>
      <c r="C21" s="13"/>
      <c r="D21" s="14"/>
      <c r="E21" s="15">
        <f t="shared" si="0"/>
        <v>0</v>
      </c>
      <c r="F21" s="21"/>
      <c r="G21" s="16">
        <f t="shared" si="1"/>
        <v>0</v>
      </c>
      <c r="H21" s="21"/>
      <c r="I21" s="16">
        <f t="shared" si="2"/>
        <v>0</v>
      </c>
      <c r="J21" s="21"/>
      <c r="K21" s="16">
        <f t="shared" si="6"/>
        <v>0</v>
      </c>
      <c r="L21" s="21"/>
      <c r="M21" s="15">
        <f t="shared" si="3"/>
        <v>0</v>
      </c>
      <c r="N21" s="85"/>
      <c r="O21" s="18">
        <f t="shared" si="5"/>
        <v>0</v>
      </c>
      <c r="P21" s="19"/>
      <c r="Q21" s="20"/>
    </row>
    <row r="22" spans="1:17" ht="15.75" hidden="1" customHeight="1" x14ac:dyDescent="0.3">
      <c r="A22" s="11"/>
      <c r="B22" s="22"/>
      <c r="C22" s="13"/>
      <c r="D22" s="14"/>
      <c r="E22" s="15">
        <f t="shared" si="0"/>
        <v>0</v>
      </c>
      <c r="F22" s="21"/>
      <c r="G22" s="16">
        <f t="shared" si="1"/>
        <v>0</v>
      </c>
      <c r="H22" s="21"/>
      <c r="I22" s="16">
        <f t="shared" si="2"/>
        <v>0</v>
      </c>
      <c r="J22" s="21"/>
      <c r="K22" s="16">
        <f t="shared" si="6"/>
        <v>0</v>
      </c>
      <c r="L22" s="21"/>
      <c r="M22" s="15">
        <f t="shared" si="3"/>
        <v>0</v>
      </c>
      <c r="N22" s="85"/>
      <c r="O22" s="18">
        <f t="shared" si="5"/>
        <v>0</v>
      </c>
      <c r="P22" s="19"/>
      <c r="Q22" s="20"/>
    </row>
    <row r="23" spans="1:17" ht="15.75" hidden="1" customHeight="1" x14ac:dyDescent="0.3">
      <c r="A23" s="11"/>
      <c r="B23" s="22"/>
      <c r="C23" s="13"/>
      <c r="D23" s="14"/>
      <c r="E23" s="15">
        <f t="shared" si="0"/>
        <v>0</v>
      </c>
      <c r="F23" s="21"/>
      <c r="G23" s="16">
        <f t="shared" si="1"/>
        <v>0</v>
      </c>
      <c r="H23" s="21"/>
      <c r="I23" s="16">
        <f t="shared" si="2"/>
        <v>0</v>
      </c>
      <c r="J23" s="21"/>
      <c r="K23" s="16">
        <f t="shared" si="6"/>
        <v>0</v>
      </c>
      <c r="L23" s="21"/>
      <c r="M23" s="15">
        <f t="shared" si="3"/>
        <v>0</v>
      </c>
      <c r="N23" s="85"/>
      <c r="O23" s="18">
        <f t="shared" si="5"/>
        <v>0</v>
      </c>
      <c r="P23" s="19"/>
      <c r="Q23" s="20"/>
    </row>
    <row r="24" spans="1:17" ht="15.75" hidden="1" customHeight="1" x14ac:dyDescent="0.3">
      <c r="A24" s="11"/>
      <c r="B24" s="22"/>
      <c r="C24" s="13"/>
      <c r="D24" s="14"/>
      <c r="E24" s="15">
        <f t="shared" si="0"/>
        <v>0</v>
      </c>
      <c r="F24" s="21"/>
      <c r="G24" s="16">
        <f t="shared" si="1"/>
        <v>0</v>
      </c>
      <c r="H24" s="21"/>
      <c r="I24" s="16">
        <f t="shared" si="2"/>
        <v>0</v>
      </c>
      <c r="J24" s="21"/>
      <c r="K24" s="16">
        <f t="shared" si="6"/>
        <v>0</v>
      </c>
      <c r="L24" s="21"/>
      <c r="M24" s="15">
        <f t="shared" si="3"/>
        <v>0</v>
      </c>
      <c r="N24" s="85"/>
      <c r="O24" s="18">
        <f t="shared" si="5"/>
        <v>0</v>
      </c>
      <c r="P24" s="19"/>
      <c r="Q24" s="20"/>
    </row>
    <row r="25" spans="1:17" ht="15.75" hidden="1" customHeight="1" x14ac:dyDescent="0.3">
      <c r="A25" s="11"/>
      <c r="B25" s="22"/>
      <c r="C25" s="13"/>
      <c r="D25" s="14"/>
      <c r="E25" s="15">
        <f t="shared" si="0"/>
        <v>0</v>
      </c>
      <c r="F25" s="21"/>
      <c r="G25" s="16">
        <f t="shared" si="1"/>
        <v>0</v>
      </c>
      <c r="H25" s="21"/>
      <c r="I25" s="16">
        <f t="shared" si="2"/>
        <v>0</v>
      </c>
      <c r="J25" s="21"/>
      <c r="K25" s="16">
        <f t="shared" si="6"/>
        <v>0</v>
      </c>
      <c r="L25" s="21"/>
      <c r="M25" s="15">
        <f t="shared" si="3"/>
        <v>0</v>
      </c>
      <c r="N25" s="85"/>
      <c r="O25" s="18">
        <f t="shared" si="5"/>
        <v>0</v>
      </c>
      <c r="P25" s="19"/>
      <c r="Q25" s="20"/>
    </row>
    <row r="26" spans="1:17" ht="15.75" customHeight="1" x14ac:dyDescent="0.3">
      <c r="A26" s="23" t="s">
        <v>45</v>
      </c>
      <c r="B26" s="24" t="s">
        <v>46</v>
      </c>
      <c r="C26" s="25">
        <v>1</v>
      </c>
      <c r="D26" s="26"/>
      <c r="E26" s="27">
        <f t="shared" si="0"/>
        <v>0</v>
      </c>
      <c r="F26" s="28"/>
      <c r="G26" s="29">
        <f t="shared" si="1"/>
        <v>0</v>
      </c>
      <c r="H26" s="28"/>
      <c r="I26" s="29">
        <f t="shared" si="2"/>
        <v>0</v>
      </c>
      <c r="J26" s="28">
        <v>400000</v>
      </c>
      <c r="K26" s="29">
        <f t="shared" si="6"/>
        <v>400000</v>
      </c>
      <c r="L26" s="28">
        <v>400000</v>
      </c>
      <c r="M26" s="27">
        <f t="shared" si="3"/>
        <v>400000</v>
      </c>
      <c r="N26" s="87"/>
      <c r="O26" s="31">
        <f t="shared" si="5"/>
        <v>0</v>
      </c>
      <c r="P26" s="19"/>
      <c r="Q26" s="20"/>
    </row>
    <row r="27" spans="1:17" ht="15.75" customHeight="1" x14ac:dyDescent="0.3">
      <c r="A27" s="272"/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4"/>
    </row>
    <row r="28" spans="1:17" ht="15.75" customHeight="1" x14ac:dyDescent="0.3">
      <c r="A28" s="32" t="s">
        <v>17</v>
      </c>
      <c r="B28" s="274"/>
      <c r="C28" s="275"/>
      <c r="D28" s="33"/>
      <c r="E28" s="34">
        <f>+SUM(E12:E25)</f>
        <v>1806243.1404958682</v>
      </c>
      <c r="F28" s="35"/>
      <c r="G28" s="34">
        <f>+SUM(G12:G25)</f>
        <v>1623431.3801652894</v>
      </c>
      <c r="H28" s="35"/>
      <c r="I28" s="34">
        <f>SUM(I12:I25)</f>
        <v>1744953.02</v>
      </c>
      <c r="J28" s="35"/>
      <c r="K28" s="34">
        <f>+SUM(K12:K26)</f>
        <v>1759255.6280991735</v>
      </c>
      <c r="L28" s="35"/>
      <c r="M28" s="34">
        <f>+SUM(M12:M26)</f>
        <v>1811361.07</v>
      </c>
      <c r="N28" s="36"/>
      <c r="O28" s="34">
        <f>+SUM(O12:O25)</f>
        <v>1514488.0150413224</v>
      </c>
    </row>
    <row r="29" spans="1:17" ht="15.75" customHeight="1" x14ac:dyDescent="0.3">
      <c r="A29" s="37"/>
      <c r="B29" s="38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</row>
    <row r="30" spans="1:17" ht="15.75" customHeight="1" x14ac:dyDescent="0.3">
      <c r="A30" s="40" t="s">
        <v>18</v>
      </c>
      <c r="B30" s="276"/>
      <c r="C30" s="271"/>
      <c r="D30" s="41">
        <v>0</v>
      </c>
      <c r="E30" s="42">
        <f>+E28*D30</f>
        <v>0</v>
      </c>
      <c r="F30" s="41">
        <v>0</v>
      </c>
      <c r="G30" s="43">
        <f>+G28*F30</f>
        <v>0</v>
      </c>
      <c r="H30" s="41">
        <v>0</v>
      </c>
      <c r="I30" s="42">
        <f>+I28*H30</f>
        <v>0</v>
      </c>
      <c r="J30" s="41">
        <v>0</v>
      </c>
      <c r="K30" s="43">
        <f>+K28*J30</f>
        <v>0</v>
      </c>
      <c r="L30" s="41">
        <v>0</v>
      </c>
      <c r="M30" s="43">
        <f>+M28*L30</f>
        <v>0</v>
      </c>
      <c r="N30" s="88"/>
      <c r="O30" s="43">
        <f>+O28*N30</f>
        <v>0</v>
      </c>
    </row>
    <row r="31" spans="1:17" ht="15.75" customHeight="1" x14ac:dyDescent="0.3">
      <c r="A31" s="45" t="s">
        <v>19</v>
      </c>
      <c r="B31" s="277">
        <v>1</v>
      </c>
      <c r="C31" s="278"/>
      <c r="D31" s="46"/>
      <c r="E31" s="47"/>
      <c r="F31" s="46"/>
      <c r="G31" s="48"/>
      <c r="H31" s="46"/>
      <c r="I31" s="47"/>
      <c r="J31" s="46"/>
      <c r="K31" s="48"/>
      <c r="L31" s="46"/>
      <c r="M31" s="48"/>
      <c r="N31" s="46"/>
      <c r="O31" s="48"/>
    </row>
    <row r="32" spans="1:17" ht="15.75" customHeight="1" x14ac:dyDescent="0.3">
      <c r="A32" s="45" t="s">
        <v>20</v>
      </c>
      <c r="B32" s="277"/>
      <c r="C32" s="278"/>
      <c r="D32" s="46"/>
      <c r="E32" s="47">
        <f>+E28-E30</f>
        <v>1806243.1404958682</v>
      </c>
      <c r="F32" s="46"/>
      <c r="G32" s="48">
        <f>+G28-G30</f>
        <v>1623431.3801652894</v>
      </c>
      <c r="H32" s="46"/>
      <c r="I32" s="47">
        <f>+I28-I30</f>
        <v>1744953.02</v>
      </c>
      <c r="J32" s="46"/>
      <c r="K32" s="48">
        <f>+K28-K30</f>
        <v>1759255.6280991735</v>
      </c>
      <c r="L32" s="46"/>
      <c r="M32" s="48">
        <f>+M28-M30</f>
        <v>1811361.07</v>
      </c>
      <c r="N32" s="46"/>
      <c r="O32" s="48">
        <f>+O28-O30</f>
        <v>1514488.0150413224</v>
      </c>
    </row>
    <row r="33" spans="1:26" ht="15.75" customHeight="1" x14ac:dyDescent="0.3">
      <c r="A33" s="45" t="s">
        <v>21</v>
      </c>
      <c r="B33" s="279">
        <v>0.21</v>
      </c>
      <c r="C33" s="278"/>
      <c r="D33" s="46"/>
      <c r="E33" s="47">
        <f>+E32*$B$33</f>
        <v>379311.05950413231</v>
      </c>
      <c r="F33" s="46"/>
      <c r="G33" s="48">
        <f>+G32*$B$33</f>
        <v>340920.58983471076</v>
      </c>
      <c r="H33" s="46"/>
      <c r="I33" s="47">
        <f>+I32*$B$33</f>
        <v>366440.13419999997</v>
      </c>
      <c r="J33" s="46"/>
      <c r="K33" s="48">
        <f>+K32*$B$33</f>
        <v>369443.68190082646</v>
      </c>
      <c r="L33" s="46"/>
      <c r="M33" s="48">
        <f>+M32*$B$33</f>
        <v>380385.8247</v>
      </c>
      <c r="N33" s="46"/>
      <c r="O33" s="48">
        <f>O32*B33</f>
        <v>318042.4831586777</v>
      </c>
    </row>
    <row r="34" spans="1:26" ht="15.75" customHeight="1" x14ac:dyDescent="0.3">
      <c r="A34" s="50" t="s">
        <v>22</v>
      </c>
      <c r="B34" s="51"/>
      <c r="C34" s="52"/>
      <c r="D34" s="53"/>
      <c r="E34" s="54"/>
      <c r="F34" s="53"/>
      <c r="G34" s="55"/>
      <c r="H34" s="53"/>
      <c r="I34" s="54"/>
      <c r="J34" s="53"/>
      <c r="K34" s="55"/>
      <c r="L34" s="53"/>
      <c r="M34" s="55"/>
      <c r="N34" s="53"/>
      <c r="O34" s="55"/>
    </row>
    <row r="35" spans="1:26" ht="15.75" customHeight="1" x14ac:dyDescent="0.3">
      <c r="A35" s="57"/>
      <c r="B35" s="58"/>
      <c r="C35" s="59"/>
      <c r="D35" s="60"/>
      <c r="E35" s="61"/>
      <c r="F35" s="60"/>
      <c r="G35" s="62"/>
      <c r="H35" s="60"/>
      <c r="I35" s="61"/>
      <c r="J35" s="63"/>
      <c r="K35" s="64"/>
      <c r="L35" s="63"/>
      <c r="M35" s="64"/>
      <c r="N35" s="60"/>
      <c r="O35" s="62"/>
    </row>
    <row r="36" spans="1:26" ht="15.75" customHeight="1" x14ac:dyDescent="0.3">
      <c r="A36" s="37"/>
      <c r="B36" s="38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</row>
    <row r="37" spans="1:26" ht="15.75" customHeight="1" x14ac:dyDescent="0.3">
      <c r="A37" s="66" t="s">
        <v>23</v>
      </c>
      <c r="B37" s="67"/>
      <c r="C37" s="68"/>
      <c r="D37" s="69"/>
      <c r="E37" s="70">
        <f>+E32+E33+E35</f>
        <v>2185554.2000000007</v>
      </c>
      <c r="F37" s="71"/>
      <c r="G37" s="70">
        <f>+G32+G33+G34</f>
        <v>1964351.9700000002</v>
      </c>
      <c r="H37" s="71"/>
      <c r="I37" s="70">
        <f>+I32+I33+I34</f>
        <v>2111393.1541999998</v>
      </c>
      <c r="J37" s="71"/>
      <c r="K37" s="70">
        <f>+K32+K33+K34</f>
        <v>2128699.31</v>
      </c>
      <c r="L37" s="71"/>
      <c r="M37" s="70">
        <f>+M32+M33+M34</f>
        <v>2191746.8947000001</v>
      </c>
      <c r="N37" s="69"/>
      <c r="O37" s="72">
        <f>SUM(O32:O33)</f>
        <v>1832530.4982000003</v>
      </c>
    </row>
    <row r="38" spans="1:26" ht="33" customHeight="1" x14ac:dyDescent="0.3">
      <c r="A38" s="73" t="s">
        <v>24</v>
      </c>
      <c r="B38" s="280"/>
      <c r="C38" s="269"/>
      <c r="D38" s="281"/>
      <c r="E38" s="267"/>
      <c r="F38" s="266" t="s">
        <v>47</v>
      </c>
      <c r="G38" s="269"/>
      <c r="H38" s="266"/>
      <c r="I38" s="267"/>
      <c r="J38" s="289"/>
      <c r="K38" s="267"/>
      <c r="L38" s="289"/>
      <c r="M38" s="267"/>
      <c r="N38" s="268"/>
      <c r="O38" s="269"/>
    </row>
    <row r="39" spans="1:26" ht="15.75" customHeight="1" x14ac:dyDescent="0.3">
      <c r="H39" s="74"/>
    </row>
    <row r="40" spans="1:26" ht="15.75" customHeight="1" x14ac:dyDescent="0.3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A8:O8"/>
    <mergeCell ref="A10:A11"/>
    <mergeCell ref="B10:B11"/>
    <mergeCell ref="C10:C11"/>
    <mergeCell ref="D10:E10"/>
    <mergeCell ref="F10:G10"/>
    <mergeCell ref="N10:O10"/>
    <mergeCell ref="L38:M38"/>
    <mergeCell ref="N38:O38"/>
    <mergeCell ref="H10:I10"/>
    <mergeCell ref="A27:N27"/>
    <mergeCell ref="B28:C28"/>
    <mergeCell ref="B30:C30"/>
    <mergeCell ref="B31:C31"/>
    <mergeCell ref="B32:C32"/>
    <mergeCell ref="B33:C33"/>
    <mergeCell ref="B38:C38"/>
    <mergeCell ref="D38:E38"/>
    <mergeCell ref="F38:G38"/>
    <mergeCell ref="H38:I38"/>
    <mergeCell ref="J38:K38"/>
    <mergeCell ref="J10:K10"/>
    <mergeCell ref="L10:M10"/>
  </mergeCells>
  <pageMargins left="0.25" right="0.25" top="0.75" bottom="0.75" header="0" footer="0"/>
  <pageSetup paperSize="9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22.88671875" customWidth="1"/>
    <col min="2" max="2" width="5.44140625" customWidth="1"/>
    <col min="3" max="3" width="7.33203125" customWidth="1"/>
    <col min="4" max="4" width="11.44140625" customWidth="1"/>
    <col min="5" max="5" width="14.5546875" customWidth="1"/>
    <col min="6" max="6" width="11.44140625" customWidth="1"/>
    <col min="7" max="7" width="14.5546875" customWidth="1"/>
    <col min="8" max="8" width="11.44140625" customWidth="1"/>
    <col min="9" max="9" width="14.5546875" customWidth="1"/>
    <col min="10" max="10" width="11.44140625" customWidth="1"/>
    <col min="11" max="11" width="14.5546875" customWidth="1"/>
    <col min="12" max="12" width="11.44140625" customWidth="1"/>
    <col min="13" max="13" width="14.5546875" customWidth="1"/>
    <col min="14" max="14" width="11.44140625" customWidth="1"/>
    <col min="15" max="15" width="14.5546875" customWidth="1"/>
    <col min="16" max="16" width="11.44140625" customWidth="1"/>
    <col min="17" max="17" width="14.5546875" customWidth="1"/>
    <col min="18" max="18" width="11.44140625" customWidth="1"/>
    <col min="19" max="19" width="14.5546875" customWidth="1"/>
    <col min="20" max="20" width="11.44140625" customWidth="1"/>
    <col min="21" max="21" width="14.5546875" customWidth="1"/>
    <col min="22" max="22" width="11.44140625" customWidth="1"/>
    <col min="23" max="23" width="14.5546875" customWidth="1"/>
    <col min="24" max="25" width="10.5546875" customWidth="1"/>
  </cols>
  <sheetData>
    <row r="1" spans="1:26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74"/>
      <c r="Y1" s="74"/>
      <c r="Z1" s="74"/>
    </row>
    <row r="2" spans="1:26" x14ac:dyDescent="0.3">
      <c r="A2" s="5" t="s">
        <v>48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74"/>
      <c r="Y2" s="74"/>
      <c r="Z2" s="74"/>
    </row>
    <row r="3" spans="1:26" x14ac:dyDescent="0.3">
      <c r="A3" s="5" t="s">
        <v>1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74"/>
      <c r="Y3" s="74"/>
      <c r="Z3" s="74"/>
    </row>
    <row r="4" spans="1:26" x14ac:dyDescent="0.3">
      <c r="A4" s="5" t="s">
        <v>2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4"/>
      <c r="X4" s="74"/>
      <c r="Y4" s="74"/>
      <c r="Z4" s="74"/>
    </row>
    <row r="5" spans="1:26" x14ac:dyDescent="0.3">
      <c r="A5" s="5" t="s">
        <v>3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74"/>
      <c r="Y5" s="74"/>
      <c r="Z5" s="74"/>
    </row>
    <row r="6" spans="1:26" x14ac:dyDescent="0.3">
      <c r="A6" s="5" t="s">
        <v>30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  <c r="X6" s="74"/>
      <c r="Y6" s="74"/>
      <c r="Z6" s="74"/>
    </row>
    <row r="7" spans="1:26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  <c r="X7" s="74"/>
      <c r="Y7" s="74"/>
      <c r="Z7" s="74"/>
    </row>
    <row r="8" spans="1:26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5"/>
      <c r="X8" s="74"/>
      <c r="Y8" s="74"/>
      <c r="Z8" s="74"/>
    </row>
    <row r="9" spans="1:26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"/>
      <c r="X9" s="74"/>
      <c r="Y9" s="74"/>
      <c r="Z9" s="74"/>
    </row>
    <row r="10" spans="1:26" ht="14.4" x14ac:dyDescent="0.3">
      <c r="A10" s="286" t="s">
        <v>6</v>
      </c>
      <c r="B10" s="286" t="s">
        <v>7</v>
      </c>
      <c r="C10" s="293" t="s">
        <v>8</v>
      </c>
      <c r="D10" s="290" t="s">
        <v>49</v>
      </c>
      <c r="E10" s="295"/>
      <c r="F10" s="295"/>
      <c r="G10" s="271"/>
      <c r="H10" s="270" t="s">
        <v>50</v>
      </c>
      <c r="I10" s="295"/>
      <c r="J10" s="295"/>
      <c r="K10" s="271"/>
      <c r="L10" s="270" t="s">
        <v>51</v>
      </c>
      <c r="M10" s="291"/>
      <c r="N10" s="270" t="s">
        <v>52</v>
      </c>
      <c r="O10" s="291"/>
      <c r="P10" s="270" t="s">
        <v>53</v>
      </c>
      <c r="Q10" s="295"/>
      <c r="R10" s="295"/>
      <c r="S10" s="295"/>
      <c r="T10" s="295"/>
      <c r="U10" s="271"/>
      <c r="V10" s="270" t="s">
        <v>12</v>
      </c>
      <c r="W10" s="271"/>
      <c r="X10" s="74"/>
      <c r="Y10" s="74"/>
      <c r="Z10" s="74"/>
    </row>
    <row r="11" spans="1:26" ht="16.5" customHeight="1" x14ac:dyDescent="0.3">
      <c r="A11" s="292"/>
      <c r="B11" s="292"/>
      <c r="C11" s="294"/>
      <c r="D11" s="76" t="s">
        <v>13</v>
      </c>
      <c r="E11" s="77" t="s">
        <v>14</v>
      </c>
      <c r="F11" s="75" t="s">
        <v>13</v>
      </c>
      <c r="G11" s="77" t="s">
        <v>14</v>
      </c>
      <c r="H11" s="75" t="s">
        <v>13</v>
      </c>
      <c r="I11" s="78" t="s">
        <v>14</v>
      </c>
      <c r="J11" s="75" t="s">
        <v>13</v>
      </c>
      <c r="K11" s="78" t="s">
        <v>14</v>
      </c>
      <c r="L11" s="75" t="s">
        <v>13</v>
      </c>
      <c r="M11" s="78" t="s">
        <v>14</v>
      </c>
      <c r="N11" s="75" t="s">
        <v>13</v>
      </c>
      <c r="O11" s="78" t="s">
        <v>14</v>
      </c>
      <c r="P11" s="75" t="s">
        <v>13</v>
      </c>
      <c r="Q11" s="78" t="s">
        <v>14</v>
      </c>
      <c r="R11" s="75" t="s">
        <v>13</v>
      </c>
      <c r="S11" s="78" t="s">
        <v>14</v>
      </c>
      <c r="T11" s="75" t="s">
        <v>13</v>
      </c>
      <c r="U11" s="78" t="s">
        <v>14</v>
      </c>
      <c r="V11" s="75" t="s">
        <v>13</v>
      </c>
      <c r="W11" s="77" t="s">
        <v>14</v>
      </c>
      <c r="X11" s="74"/>
      <c r="Y11" s="74"/>
      <c r="Z11" s="74"/>
    </row>
    <row r="12" spans="1:26" ht="14.4" x14ac:dyDescent="0.3">
      <c r="A12" s="79" t="s">
        <v>54</v>
      </c>
      <c r="B12" s="80" t="s">
        <v>7</v>
      </c>
      <c r="C12" s="81">
        <v>6</v>
      </c>
      <c r="D12" s="82"/>
      <c r="E12" s="84">
        <f t="shared" ref="E12:E26" si="0">D12*C12</f>
        <v>0</v>
      </c>
      <c r="F12" s="82"/>
      <c r="G12" s="84">
        <f t="shared" ref="G12:G26" si="1">F12*C12</f>
        <v>0</v>
      </c>
      <c r="H12" s="82"/>
      <c r="I12" s="83">
        <f t="shared" ref="I12:I26" si="2">H12*C12</f>
        <v>0</v>
      </c>
      <c r="J12" s="82"/>
      <c r="K12" s="83">
        <f t="shared" ref="K12:K16" si="3">J12*C12</f>
        <v>0</v>
      </c>
      <c r="L12" s="82"/>
      <c r="M12" s="83">
        <f t="shared" ref="M12:M26" si="4">L12*C12</f>
        <v>0</v>
      </c>
      <c r="N12" s="82"/>
      <c r="O12" s="83">
        <f t="shared" ref="O12:O13" si="5">N12*C12</f>
        <v>0</v>
      </c>
      <c r="P12" s="82"/>
      <c r="Q12" s="83">
        <f t="shared" ref="Q12:Q16" si="6">P12*C12</f>
        <v>0</v>
      </c>
      <c r="R12" s="82"/>
      <c r="S12" s="83">
        <f t="shared" ref="S12:S16" si="7">R12*C12</f>
        <v>0</v>
      </c>
      <c r="T12" s="82"/>
      <c r="U12" s="83">
        <f t="shared" ref="U12:U16" si="8">T12*C12</f>
        <v>0</v>
      </c>
      <c r="V12" s="85"/>
      <c r="W12" s="86">
        <f t="shared" ref="W12:W26" si="9">V12*C12</f>
        <v>0</v>
      </c>
      <c r="X12" s="19"/>
      <c r="Y12" s="20"/>
      <c r="Z12" s="74"/>
    </row>
    <row r="13" spans="1:26" ht="27.6" x14ac:dyDescent="0.3">
      <c r="A13" s="11" t="s">
        <v>55</v>
      </c>
      <c r="B13" s="12" t="s">
        <v>7</v>
      </c>
      <c r="C13" s="13">
        <v>20</v>
      </c>
      <c r="D13" s="21">
        <v>65944.820000000007</v>
      </c>
      <c r="E13" s="16">
        <f t="shared" si="0"/>
        <v>1318896.4000000001</v>
      </c>
      <c r="F13" s="14">
        <v>53984.07</v>
      </c>
      <c r="G13" s="16">
        <f t="shared" si="1"/>
        <v>1079681.3999999999</v>
      </c>
      <c r="H13" s="14">
        <v>70002.62</v>
      </c>
      <c r="I13" s="15">
        <f t="shared" si="2"/>
        <v>1400052.4</v>
      </c>
      <c r="J13" s="14">
        <v>42352.63</v>
      </c>
      <c r="K13" s="83">
        <f t="shared" si="3"/>
        <v>847052.6</v>
      </c>
      <c r="L13" s="14">
        <v>81272.69</v>
      </c>
      <c r="M13" s="83">
        <f t="shared" si="4"/>
        <v>1625453.8</v>
      </c>
      <c r="N13" s="14">
        <f>53142.76/1.21</f>
        <v>43919.636363636368</v>
      </c>
      <c r="O13" s="83">
        <f t="shared" si="5"/>
        <v>878392.72727272729</v>
      </c>
      <c r="P13" s="14">
        <f>1636363.635/20</f>
        <v>81818.181750000003</v>
      </c>
      <c r="Q13" s="83">
        <f t="shared" si="6"/>
        <v>1636363.635</v>
      </c>
      <c r="R13" s="14">
        <f>1514049.585/20</f>
        <v>75702.479250000004</v>
      </c>
      <c r="S13" s="83">
        <f t="shared" si="7"/>
        <v>1514049.585</v>
      </c>
      <c r="T13" s="14">
        <f>1320661.155/20</f>
        <v>66033.057750000007</v>
      </c>
      <c r="U13" s="83">
        <f t="shared" si="8"/>
        <v>1320661.1550000003</v>
      </c>
      <c r="V13" s="85">
        <f>MIN(J13,D13,N13,H13,F13,L13,P13,R13,T13)</f>
        <v>42352.63</v>
      </c>
      <c r="W13" s="18">
        <f t="shared" si="9"/>
        <v>847052.6</v>
      </c>
      <c r="X13" s="19"/>
      <c r="Y13" s="20"/>
      <c r="Z13" s="74"/>
    </row>
    <row r="14" spans="1:26" ht="14.4" x14ac:dyDescent="0.3">
      <c r="A14" s="11"/>
      <c r="B14" s="22"/>
      <c r="C14" s="13"/>
      <c r="D14" s="21"/>
      <c r="E14" s="16">
        <f t="shared" si="0"/>
        <v>0</v>
      </c>
      <c r="F14" s="21"/>
      <c r="G14" s="16">
        <f t="shared" si="1"/>
        <v>0</v>
      </c>
      <c r="H14" s="21"/>
      <c r="I14" s="15">
        <f t="shared" si="2"/>
        <v>0</v>
      </c>
      <c r="J14" s="21"/>
      <c r="K14" s="83">
        <f t="shared" si="3"/>
        <v>0</v>
      </c>
      <c r="L14" s="21"/>
      <c r="M14" s="83">
        <f t="shared" si="4"/>
        <v>0</v>
      </c>
      <c r="N14" s="21"/>
      <c r="O14" s="83">
        <f t="shared" ref="O14:O26" si="10">N14*E14</f>
        <v>0</v>
      </c>
      <c r="P14" s="21"/>
      <c r="Q14" s="83">
        <f t="shared" si="6"/>
        <v>0</v>
      </c>
      <c r="R14" s="21"/>
      <c r="S14" s="83">
        <f t="shared" si="7"/>
        <v>0</v>
      </c>
      <c r="T14" s="21"/>
      <c r="U14" s="83">
        <f t="shared" si="8"/>
        <v>0</v>
      </c>
      <c r="V14" s="85"/>
      <c r="W14" s="18">
        <f t="shared" si="9"/>
        <v>0</v>
      </c>
      <c r="X14" s="19"/>
      <c r="Y14" s="20"/>
      <c r="Z14" s="74"/>
    </row>
    <row r="15" spans="1:26" ht="14.4" x14ac:dyDescent="0.3">
      <c r="A15" s="11"/>
      <c r="B15" s="22"/>
      <c r="C15" s="13"/>
      <c r="D15" s="21"/>
      <c r="E15" s="16">
        <f t="shared" si="0"/>
        <v>0</v>
      </c>
      <c r="F15" s="21"/>
      <c r="G15" s="16">
        <f t="shared" si="1"/>
        <v>0</v>
      </c>
      <c r="H15" s="21"/>
      <c r="I15" s="15">
        <f t="shared" si="2"/>
        <v>0</v>
      </c>
      <c r="J15" s="21"/>
      <c r="K15" s="83">
        <f t="shared" si="3"/>
        <v>0</v>
      </c>
      <c r="L15" s="21"/>
      <c r="M15" s="83">
        <f t="shared" si="4"/>
        <v>0</v>
      </c>
      <c r="N15" s="21"/>
      <c r="O15" s="83">
        <f t="shared" si="10"/>
        <v>0</v>
      </c>
      <c r="P15" s="21"/>
      <c r="Q15" s="83">
        <f t="shared" si="6"/>
        <v>0</v>
      </c>
      <c r="R15" s="21"/>
      <c r="S15" s="83">
        <f t="shared" si="7"/>
        <v>0</v>
      </c>
      <c r="T15" s="21"/>
      <c r="U15" s="83">
        <f t="shared" si="8"/>
        <v>0</v>
      </c>
      <c r="V15" s="85"/>
      <c r="W15" s="18">
        <f t="shared" si="9"/>
        <v>0</v>
      </c>
      <c r="X15" s="19"/>
      <c r="Y15" s="20"/>
      <c r="Z15" s="74"/>
    </row>
    <row r="16" spans="1:26" ht="14.4" x14ac:dyDescent="0.3">
      <c r="A16" s="11"/>
      <c r="B16" s="22"/>
      <c r="C16" s="13"/>
      <c r="D16" s="21"/>
      <c r="E16" s="16">
        <f t="shared" si="0"/>
        <v>0</v>
      </c>
      <c r="F16" s="21"/>
      <c r="G16" s="16">
        <f t="shared" si="1"/>
        <v>0</v>
      </c>
      <c r="H16" s="21"/>
      <c r="I16" s="15">
        <f t="shared" si="2"/>
        <v>0</v>
      </c>
      <c r="J16" s="21"/>
      <c r="K16" s="83">
        <f t="shared" si="3"/>
        <v>0</v>
      </c>
      <c r="L16" s="21"/>
      <c r="M16" s="83">
        <f t="shared" si="4"/>
        <v>0</v>
      </c>
      <c r="N16" s="21"/>
      <c r="O16" s="83">
        <f t="shared" si="10"/>
        <v>0</v>
      </c>
      <c r="P16" s="21"/>
      <c r="Q16" s="83">
        <f t="shared" si="6"/>
        <v>0</v>
      </c>
      <c r="R16" s="21"/>
      <c r="S16" s="83">
        <f t="shared" si="7"/>
        <v>0</v>
      </c>
      <c r="T16" s="21"/>
      <c r="U16" s="83">
        <f t="shared" si="8"/>
        <v>0</v>
      </c>
      <c r="V16" s="85"/>
      <c r="W16" s="18">
        <f t="shared" si="9"/>
        <v>0</v>
      </c>
      <c r="X16" s="19"/>
      <c r="Y16" s="20"/>
      <c r="Z16" s="74"/>
    </row>
    <row r="17" spans="1:26" ht="14.4" x14ac:dyDescent="0.3">
      <c r="A17" s="11"/>
      <c r="B17" s="22"/>
      <c r="C17" s="13"/>
      <c r="D17" s="21"/>
      <c r="E17" s="16">
        <f t="shared" si="0"/>
        <v>0</v>
      </c>
      <c r="F17" s="21"/>
      <c r="G17" s="16">
        <f t="shared" si="1"/>
        <v>0</v>
      </c>
      <c r="H17" s="21"/>
      <c r="I17" s="15">
        <f t="shared" si="2"/>
        <v>0</v>
      </c>
      <c r="J17" s="21"/>
      <c r="K17" s="15">
        <f t="shared" ref="K17:K26" si="11">J17*E17</f>
        <v>0</v>
      </c>
      <c r="L17" s="21"/>
      <c r="M17" s="83">
        <f t="shared" si="4"/>
        <v>0</v>
      </c>
      <c r="N17" s="21"/>
      <c r="O17" s="83">
        <f t="shared" si="10"/>
        <v>0</v>
      </c>
      <c r="P17" s="21"/>
      <c r="Q17" s="83"/>
      <c r="R17" s="21"/>
      <c r="S17" s="83"/>
      <c r="T17" s="21"/>
      <c r="U17" s="83"/>
      <c r="V17" s="85"/>
      <c r="W17" s="18">
        <f t="shared" si="9"/>
        <v>0</v>
      </c>
      <c r="X17" s="19"/>
      <c r="Y17" s="20"/>
      <c r="Z17" s="74"/>
    </row>
    <row r="18" spans="1:26" ht="14.4" hidden="1" x14ac:dyDescent="0.3">
      <c r="A18" s="11"/>
      <c r="B18" s="22"/>
      <c r="C18" s="13"/>
      <c r="D18" s="21"/>
      <c r="E18" s="16">
        <f t="shared" si="0"/>
        <v>0</v>
      </c>
      <c r="F18" s="21"/>
      <c r="G18" s="16">
        <f t="shared" si="1"/>
        <v>0</v>
      </c>
      <c r="H18" s="21"/>
      <c r="I18" s="15">
        <f t="shared" si="2"/>
        <v>0</v>
      </c>
      <c r="J18" s="21"/>
      <c r="K18" s="15">
        <f t="shared" si="11"/>
        <v>0</v>
      </c>
      <c r="L18" s="21"/>
      <c r="M18" s="83">
        <f t="shared" si="4"/>
        <v>0</v>
      </c>
      <c r="N18" s="21"/>
      <c r="O18" s="83">
        <f t="shared" si="10"/>
        <v>0</v>
      </c>
      <c r="P18" s="21"/>
      <c r="Q18" s="83"/>
      <c r="R18" s="21"/>
      <c r="S18" s="83"/>
      <c r="T18" s="21"/>
      <c r="U18" s="83"/>
      <c r="V18" s="85"/>
      <c r="W18" s="18">
        <f t="shared" si="9"/>
        <v>0</v>
      </c>
      <c r="X18" s="19"/>
      <c r="Y18" s="20"/>
      <c r="Z18" s="74"/>
    </row>
    <row r="19" spans="1:26" ht="14.4" hidden="1" x14ac:dyDescent="0.3">
      <c r="A19" s="11"/>
      <c r="B19" s="22"/>
      <c r="C19" s="13"/>
      <c r="D19" s="21"/>
      <c r="E19" s="16">
        <f t="shared" si="0"/>
        <v>0</v>
      </c>
      <c r="F19" s="21"/>
      <c r="G19" s="16">
        <f t="shared" si="1"/>
        <v>0</v>
      </c>
      <c r="H19" s="21"/>
      <c r="I19" s="15">
        <f t="shared" si="2"/>
        <v>0</v>
      </c>
      <c r="J19" s="21"/>
      <c r="K19" s="15">
        <f t="shared" si="11"/>
        <v>0</v>
      </c>
      <c r="L19" s="21"/>
      <c r="M19" s="83">
        <f t="shared" si="4"/>
        <v>0</v>
      </c>
      <c r="N19" s="21"/>
      <c r="O19" s="83">
        <f t="shared" si="10"/>
        <v>0</v>
      </c>
      <c r="P19" s="21"/>
      <c r="Q19" s="83"/>
      <c r="R19" s="21"/>
      <c r="S19" s="83"/>
      <c r="T19" s="21"/>
      <c r="U19" s="83"/>
      <c r="V19" s="85"/>
      <c r="W19" s="18">
        <f t="shared" si="9"/>
        <v>0</v>
      </c>
      <c r="X19" s="19"/>
      <c r="Y19" s="20"/>
      <c r="Z19" s="74"/>
    </row>
    <row r="20" spans="1:26" ht="14.4" hidden="1" x14ac:dyDescent="0.3">
      <c r="A20" s="11"/>
      <c r="B20" s="22"/>
      <c r="C20" s="13"/>
      <c r="D20" s="21"/>
      <c r="E20" s="16">
        <f t="shared" si="0"/>
        <v>0</v>
      </c>
      <c r="F20" s="21"/>
      <c r="G20" s="16">
        <f t="shared" si="1"/>
        <v>0</v>
      </c>
      <c r="H20" s="21"/>
      <c r="I20" s="15">
        <f t="shared" si="2"/>
        <v>0</v>
      </c>
      <c r="J20" s="21"/>
      <c r="K20" s="15">
        <f t="shared" si="11"/>
        <v>0</v>
      </c>
      <c r="L20" s="21"/>
      <c r="M20" s="83">
        <f t="shared" si="4"/>
        <v>0</v>
      </c>
      <c r="N20" s="21"/>
      <c r="O20" s="83">
        <f t="shared" si="10"/>
        <v>0</v>
      </c>
      <c r="P20" s="21"/>
      <c r="Q20" s="83"/>
      <c r="R20" s="21"/>
      <c r="S20" s="83"/>
      <c r="T20" s="21"/>
      <c r="U20" s="83"/>
      <c r="V20" s="85"/>
      <c r="W20" s="18">
        <f t="shared" si="9"/>
        <v>0</v>
      </c>
      <c r="X20" s="19"/>
      <c r="Y20" s="20"/>
      <c r="Z20" s="74"/>
    </row>
    <row r="21" spans="1:26" ht="15.75" hidden="1" customHeight="1" x14ac:dyDescent="0.3">
      <c r="A21" s="11"/>
      <c r="B21" s="22"/>
      <c r="C21" s="13"/>
      <c r="D21" s="21"/>
      <c r="E21" s="16">
        <f t="shared" si="0"/>
        <v>0</v>
      </c>
      <c r="F21" s="21"/>
      <c r="G21" s="16">
        <f t="shared" si="1"/>
        <v>0</v>
      </c>
      <c r="H21" s="21"/>
      <c r="I21" s="15">
        <f t="shared" si="2"/>
        <v>0</v>
      </c>
      <c r="J21" s="21"/>
      <c r="K21" s="15">
        <f t="shared" si="11"/>
        <v>0</v>
      </c>
      <c r="L21" s="21"/>
      <c r="M21" s="83">
        <f t="shared" si="4"/>
        <v>0</v>
      </c>
      <c r="N21" s="21"/>
      <c r="O21" s="83">
        <f t="shared" si="10"/>
        <v>0</v>
      </c>
      <c r="P21" s="21"/>
      <c r="Q21" s="83"/>
      <c r="R21" s="21"/>
      <c r="S21" s="83"/>
      <c r="T21" s="21"/>
      <c r="U21" s="83"/>
      <c r="V21" s="85"/>
      <c r="W21" s="18">
        <f t="shared" si="9"/>
        <v>0</v>
      </c>
      <c r="X21" s="19"/>
      <c r="Y21" s="20"/>
      <c r="Z21" s="74"/>
    </row>
    <row r="22" spans="1:26" ht="15.75" hidden="1" customHeight="1" x14ac:dyDescent="0.3">
      <c r="A22" s="11"/>
      <c r="B22" s="22"/>
      <c r="C22" s="13"/>
      <c r="D22" s="21"/>
      <c r="E22" s="16">
        <f t="shared" si="0"/>
        <v>0</v>
      </c>
      <c r="F22" s="21"/>
      <c r="G22" s="16">
        <f t="shared" si="1"/>
        <v>0</v>
      </c>
      <c r="H22" s="21"/>
      <c r="I22" s="15">
        <f t="shared" si="2"/>
        <v>0</v>
      </c>
      <c r="J22" s="21"/>
      <c r="K22" s="15">
        <f t="shared" si="11"/>
        <v>0</v>
      </c>
      <c r="L22" s="21"/>
      <c r="M22" s="83">
        <f t="shared" si="4"/>
        <v>0</v>
      </c>
      <c r="N22" s="21"/>
      <c r="O22" s="83">
        <f t="shared" si="10"/>
        <v>0</v>
      </c>
      <c r="P22" s="21"/>
      <c r="Q22" s="83"/>
      <c r="R22" s="21"/>
      <c r="S22" s="83"/>
      <c r="T22" s="21"/>
      <c r="U22" s="83"/>
      <c r="V22" s="85"/>
      <c r="W22" s="18">
        <f t="shared" si="9"/>
        <v>0</v>
      </c>
      <c r="X22" s="19"/>
      <c r="Y22" s="20"/>
      <c r="Z22" s="74"/>
    </row>
    <row r="23" spans="1:26" ht="15.75" hidden="1" customHeight="1" x14ac:dyDescent="0.3">
      <c r="A23" s="11"/>
      <c r="B23" s="22"/>
      <c r="C23" s="13"/>
      <c r="D23" s="21"/>
      <c r="E23" s="16">
        <f t="shared" si="0"/>
        <v>0</v>
      </c>
      <c r="F23" s="21"/>
      <c r="G23" s="16">
        <f t="shared" si="1"/>
        <v>0</v>
      </c>
      <c r="H23" s="21"/>
      <c r="I23" s="15">
        <f t="shared" si="2"/>
        <v>0</v>
      </c>
      <c r="J23" s="21"/>
      <c r="K23" s="15">
        <f t="shared" si="11"/>
        <v>0</v>
      </c>
      <c r="L23" s="21"/>
      <c r="M23" s="83">
        <f t="shared" si="4"/>
        <v>0</v>
      </c>
      <c r="N23" s="21"/>
      <c r="O23" s="83">
        <f t="shared" si="10"/>
        <v>0</v>
      </c>
      <c r="P23" s="21"/>
      <c r="Q23" s="83"/>
      <c r="R23" s="21"/>
      <c r="S23" s="83"/>
      <c r="T23" s="21"/>
      <c r="U23" s="83"/>
      <c r="V23" s="85"/>
      <c r="W23" s="18">
        <f t="shared" si="9"/>
        <v>0</v>
      </c>
      <c r="X23" s="19"/>
      <c r="Y23" s="20"/>
      <c r="Z23" s="74"/>
    </row>
    <row r="24" spans="1:26" ht="15.75" hidden="1" customHeight="1" x14ac:dyDescent="0.3">
      <c r="A24" s="11"/>
      <c r="B24" s="22"/>
      <c r="C24" s="13"/>
      <c r="D24" s="21"/>
      <c r="E24" s="16">
        <f t="shared" si="0"/>
        <v>0</v>
      </c>
      <c r="F24" s="21"/>
      <c r="G24" s="16">
        <f t="shared" si="1"/>
        <v>0</v>
      </c>
      <c r="H24" s="21"/>
      <c r="I24" s="15">
        <f t="shared" si="2"/>
        <v>0</v>
      </c>
      <c r="J24" s="21"/>
      <c r="K24" s="15">
        <f t="shared" si="11"/>
        <v>0</v>
      </c>
      <c r="L24" s="21"/>
      <c r="M24" s="83">
        <f t="shared" si="4"/>
        <v>0</v>
      </c>
      <c r="N24" s="21"/>
      <c r="O24" s="83">
        <f t="shared" si="10"/>
        <v>0</v>
      </c>
      <c r="P24" s="21"/>
      <c r="Q24" s="83"/>
      <c r="R24" s="21"/>
      <c r="S24" s="83"/>
      <c r="T24" s="21"/>
      <c r="U24" s="83"/>
      <c r="V24" s="85"/>
      <c r="W24" s="18">
        <f t="shared" si="9"/>
        <v>0</v>
      </c>
      <c r="X24" s="19"/>
      <c r="Y24" s="20"/>
      <c r="Z24" s="74"/>
    </row>
    <row r="25" spans="1:26" ht="15.75" hidden="1" customHeight="1" x14ac:dyDescent="0.3">
      <c r="A25" s="11"/>
      <c r="B25" s="22"/>
      <c r="C25" s="13"/>
      <c r="D25" s="21"/>
      <c r="E25" s="16">
        <f t="shared" si="0"/>
        <v>0</v>
      </c>
      <c r="F25" s="21"/>
      <c r="G25" s="16">
        <f t="shared" si="1"/>
        <v>0</v>
      </c>
      <c r="H25" s="21"/>
      <c r="I25" s="15">
        <f t="shared" si="2"/>
        <v>0</v>
      </c>
      <c r="J25" s="21"/>
      <c r="K25" s="15">
        <f t="shared" si="11"/>
        <v>0</v>
      </c>
      <c r="L25" s="21"/>
      <c r="M25" s="83">
        <f t="shared" si="4"/>
        <v>0</v>
      </c>
      <c r="N25" s="21"/>
      <c r="O25" s="83">
        <f t="shared" si="10"/>
        <v>0</v>
      </c>
      <c r="P25" s="21"/>
      <c r="Q25" s="83"/>
      <c r="R25" s="21"/>
      <c r="S25" s="83"/>
      <c r="T25" s="21"/>
      <c r="U25" s="83"/>
      <c r="V25" s="85"/>
      <c r="W25" s="18">
        <f t="shared" si="9"/>
        <v>0</v>
      </c>
      <c r="X25" s="19"/>
      <c r="Y25" s="20"/>
      <c r="Z25" s="74"/>
    </row>
    <row r="26" spans="1:26" ht="15.75" customHeight="1" x14ac:dyDescent="0.3">
      <c r="A26" s="23"/>
      <c r="B26" s="24"/>
      <c r="C26" s="25"/>
      <c r="D26" s="28"/>
      <c r="E26" s="29">
        <f t="shared" si="0"/>
        <v>0</v>
      </c>
      <c r="F26" s="28"/>
      <c r="G26" s="29">
        <f t="shared" si="1"/>
        <v>0</v>
      </c>
      <c r="H26" s="28"/>
      <c r="I26" s="27">
        <f t="shared" si="2"/>
        <v>0</v>
      </c>
      <c r="J26" s="28"/>
      <c r="K26" s="27">
        <f t="shared" si="11"/>
        <v>0</v>
      </c>
      <c r="L26" s="28"/>
      <c r="M26" s="29">
        <f t="shared" si="4"/>
        <v>0</v>
      </c>
      <c r="N26" s="28"/>
      <c r="O26" s="29">
        <f t="shared" si="10"/>
        <v>0</v>
      </c>
      <c r="P26" s="28"/>
      <c r="Q26" s="27"/>
      <c r="R26" s="28"/>
      <c r="S26" s="27"/>
      <c r="T26" s="28"/>
      <c r="U26" s="27"/>
      <c r="V26" s="87"/>
      <c r="W26" s="31">
        <f t="shared" si="9"/>
        <v>0</v>
      </c>
      <c r="X26" s="19"/>
      <c r="Y26" s="20"/>
      <c r="Z26" s="74"/>
    </row>
    <row r="27" spans="1:26" ht="15.75" customHeight="1" x14ac:dyDescent="0.3">
      <c r="A27" s="272"/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4"/>
      <c r="X27" s="74"/>
      <c r="Y27" s="74"/>
      <c r="Z27" s="74"/>
    </row>
    <row r="28" spans="1:26" ht="15.75" customHeight="1" x14ac:dyDescent="0.3">
      <c r="A28" s="32" t="s">
        <v>17</v>
      </c>
      <c r="B28" s="274"/>
      <c r="C28" s="275"/>
      <c r="D28" s="35"/>
      <c r="E28" s="34">
        <f>SUM(E12:E25)</f>
        <v>1318896.4000000001</v>
      </c>
      <c r="F28" s="35"/>
      <c r="G28" s="34">
        <f>+SUM(G12:G26)</f>
        <v>1079681.3999999999</v>
      </c>
      <c r="H28" s="35"/>
      <c r="I28" s="34">
        <f>+SUM(I12:I26)</f>
        <v>1400052.4</v>
      </c>
      <c r="J28" s="35"/>
      <c r="K28" s="34">
        <f>+SUM(K12:K26)</f>
        <v>847052.6</v>
      </c>
      <c r="L28" s="35"/>
      <c r="M28" s="34">
        <f>+SUM(M12:M26)</f>
        <v>1625453.8</v>
      </c>
      <c r="N28" s="35"/>
      <c r="O28" s="34">
        <f>+SUM(O12:O26)</f>
        <v>878392.72727272729</v>
      </c>
      <c r="P28" s="35"/>
      <c r="Q28" s="34">
        <f>+SUM(Q12:Q26)</f>
        <v>1636363.635</v>
      </c>
      <c r="R28" s="35"/>
      <c r="S28" s="34">
        <f>+SUM(S12:S26)</f>
        <v>1514049.585</v>
      </c>
      <c r="T28" s="35"/>
      <c r="U28" s="34">
        <f>+SUM(U12:U26)</f>
        <v>1320661.1550000003</v>
      </c>
      <c r="V28" s="36"/>
      <c r="W28" s="34">
        <f>+SUM(W12:W25)</f>
        <v>847052.6</v>
      </c>
      <c r="X28" s="74"/>
      <c r="Y28" s="74"/>
      <c r="Z28" s="74"/>
    </row>
    <row r="29" spans="1:26" ht="15.75" customHeight="1" x14ac:dyDescent="0.3">
      <c r="A29" s="37"/>
      <c r="B29" s="38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74"/>
      <c r="Y29" s="74"/>
      <c r="Z29" s="74"/>
    </row>
    <row r="30" spans="1:26" ht="15.75" customHeight="1" x14ac:dyDescent="0.3">
      <c r="A30" s="40" t="s">
        <v>18</v>
      </c>
      <c r="B30" s="276"/>
      <c r="C30" s="271"/>
      <c r="D30" s="41">
        <v>0</v>
      </c>
      <c r="E30" s="42">
        <f>+E28*D30</f>
        <v>0</v>
      </c>
      <c r="F30" s="41">
        <v>0</v>
      </c>
      <c r="G30" s="43">
        <f>+G28*F30</f>
        <v>0</v>
      </c>
      <c r="H30" s="41">
        <v>0</v>
      </c>
      <c r="I30" s="43">
        <f>+I28*H30</f>
        <v>0</v>
      </c>
      <c r="J30" s="41">
        <v>0</v>
      </c>
      <c r="K30" s="43">
        <f>+K28*J30</f>
        <v>0</v>
      </c>
      <c r="L30" s="41">
        <v>0</v>
      </c>
      <c r="M30" s="43">
        <f>+M28*L30</f>
        <v>0</v>
      </c>
      <c r="N30" s="41">
        <v>0</v>
      </c>
      <c r="O30" s="43">
        <f>+O28*N30</f>
        <v>0</v>
      </c>
      <c r="P30" s="41">
        <v>0</v>
      </c>
      <c r="Q30" s="43">
        <f>+Q28*P30</f>
        <v>0</v>
      </c>
      <c r="R30" s="41">
        <v>0</v>
      </c>
      <c r="S30" s="43">
        <f>+S28*R30</f>
        <v>0</v>
      </c>
      <c r="T30" s="41">
        <v>0</v>
      </c>
      <c r="U30" s="43">
        <f>+U28*T30</f>
        <v>0</v>
      </c>
      <c r="V30" s="88"/>
      <c r="W30" s="43">
        <f>+W28*V30</f>
        <v>0</v>
      </c>
      <c r="X30" s="74"/>
      <c r="Y30" s="74"/>
      <c r="Z30" s="74"/>
    </row>
    <row r="31" spans="1:26" ht="15.75" customHeight="1" x14ac:dyDescent="0.3">
      <c r="A31" s="45" t="s">
        <v>19</v>
      </c>
      <c r="B31" s="277">
        <v>1</v>
      </c>
      <c r="C31" s="278"/>
      <c r="D31" s="46"/>
      <c r="E31" s="47"/>
      <c r="F31" s="46"/>
      <c r="G31" s="48"/>
      <c r="H31" s="46"/>
      <c r="I31" s="48"/>
      <c r="J31" s="46"/>
      <c r="K31" s="48"/>
      <c r="L31" s="46"/>
      <c r="M31" s="48"/>
      <c r="N31" s="46"/>
      <c r="O31" s="48"/>
      <c r="P31" s="46"/>
      <c r="Q31" s="48"/>
      <c r="R31" s="46"/>
      <c r="S31" s="48"/>
      <c r="T31" s="46"/>
      <c r="U31" s="48"/>
      <c r="V31" s="46"/>
      <c r="W31" s="48"/>
      <c r="X31" s="74"/>
      <c r="Y31" s="74"/>
      <c r="Z31" s="74"/>
    </row>
    <row r="32" spans="1:26" ht="15.75" customHeight="1" x14ac:dyDescent="0.3">
      <c r="A32" s="45" t="s">
        <v>20</v>
      </c>
      <c r="B32" s="277"/>
      <c r="C32" s="278"/>
      <c r="D32" s="46"/>
      <c r="E32" s="47">
        <f>+E28-E30</f>
        <v>1318896.4000000001</v>
      </c>
      <c r="F32" s="46"/>
      <c r="G32" s="48">
        <f>+G28-G30</f>
        <v>1079681.3999999999</v>
      </c>
      <c r="H32" s="46"/>
      <c r="I32" s="48">
        <f>+I28-I30</f>
        <v>1400052.4</v>
      </c>
      <c r="J32" s="46"/>
      <c r="K32" s="48">
        <f>+K28-K30</f>
        <v>847052.6</v>
      </c>
      <c r="L32" s="46"/>
      <c r="M32" s="48">
        <f>+M28-M30</f>
        <v>1625453.8</v>
      </c>
      <c r="N32" s="46"/>
      <c r="O32" s="48">
        <f>+O28-O30</f>
        <v>878392.72727272729</v>
      </c>
      <c r="P32" s="46"/>
      <c r="Q32" s="48">
        <f>+Q28-Q30</f>
        <v>1636363.635</v>
      </c>
      <c r="R32" s="46"/>
      <c r="S32" s="48">
        <f>+S28-S30</f>
        <v>1514049.585</v>
      </c>
      <c r="T32" s="46"/>
      <c r="U32" s="48">
        <f>+U28-U30</f>
        <v>1320661.1550000003</v>
      </c>
      <c r="V32" s="46"/>
      <c r="W32" s="48">
        <f>+W28-W30</f>
        <v>847052.6</v>
      </c>
      <c r="X32" s="74"/>
      <c r="Y32" s="74"/>
      <c r="Z32" s="74"/>
    </row>
    <row r="33" spans="1:26" ht="15.75" customHeight="1" x14ac:dyDescent="0.3">
      <c r="A33" s="45" t="s">
        <v>21</v>
      </c>
      <c r="B33" s="279">
        <v>0.21</v>
      </c>
      <c r="C33" s="278"/>
      <c r="D33" s="46"/>
      <c r="E33" s="47">
        <f>+E32*$B$33</f>
        <v>276968.24400000001</v>
      </c>
      <c r="F33" s="46"/>
      <c r="G33" s="48">
        <f>+G32*$B$33</f>
        <v>226733.09399999998</v>
      </c>
      <c r="H33" s="46"/>
      <c r="I33" s="48">
        <f>+I32*$B$33</f>
        <v>294011.00399999996</v>
      </c>
      <c r="J33" s="46"/>
      <c r="K33" s="48">
        <f>+K32*$B$33</f>
        <v>177881.046</v>
      </c>
      <c r="L33" s="46"/>
      <c r="M33" s="48">
        <f>+M32*$B$33</f>
        <v>341345.29800000001</v>
      </c>
      <c r="N33" s="46"/>
      <c r="O33" s="48">
        <f>+O32*$B$33</f>
        <v>184462.47272727272</v>
      </c>
      <c r="P33" s="46"/>
      <c r="Q33" s="48">
        <f>+Q32*$B$33</f>
        <v>343636.36335</v>
      </c>
      <c r="R33" s="46"/>
      <c r="S33" s="48">
        <f>+S32*$B$33</f>
        <v>317950.41284999996</v>
      </c>
      <c r="T33" s="46"/>
      <c r="U33" s="48">
        <f>+U32*$B$33</f>
        <v>277338.84255000006</v>
      </c>
      <c r="V33" s="46"/>
      <c r="W33" s="48">
        <f>W32*B33</f>
        <v>177881.046</v>
      </c>
      <c r="X33" s="74"/>
      <c r="Y33" s="74"/>
      <c r="Z33" s="74"/>
    </row>
    <row r="34" spans="1:26" ht="15.75" customHeight="1" x14ac:dyDescent="0.3">
      <c r="A34" s="50" t="s">
        <v>22</v>
      </c>
      <c r="B34" s="51"/>
      <c r="C34" s="52"/>
      <c r="D34" s="53"/>
      <c r="E34" s="54">
        <v>13188.97</v>
      </c>
      <c r="F34" s="53"/>
      <c r="G34" s="55">
        <v>10796.82</v>
      </c>
      <c r="H34" s="53"/>
      <c r="I34" s="55">
        <v>42001.57</v>
      </c>
      <c r="J34" s="53"/>
      <c r="K34" s="55">
        <v>25411.58</v>
      </c>
      <c r="L34" s="53"/>
      <c r="M34" s="55"/>
      <c r="N34" s="53"/>
      <c r="O34" s="55"/>
      <c r="P34" s="53"/>
      <c r="Q34" s="55"/>
      <c r="R34" s="53"/>
      <c r="S34" s="55"/>
      <c r="T34" s="53"/>
      <c r="U34" s="55"/>
      <c r="V34" s="53"/>
      <c r="W34" s="55"/>
      <c r="X34" s="74"/>
      <c r="Y34" s="74"/>
      <c r="Z34" s="74"/>
    </row>
    <row r="35" spans="1:26" ht="15.75" customHeight="1" x14ac:dyDescent="0.3">
      <c r="A35" s="57"/>
      <c r="B35" s="58"/>
      <c r="C35" s="59"/>
      <c r="D35" s="60"/>
      <c r="E35" s="61"/>
      <c r="F35" s="63"/>
      <c r="G35" s="64"/>
      <c r="H35" s="63"/>
      <c r="I35" s="64"/>
      <c r="J35" s="63"/>
      <c r="K35" s="64"/>
      <c r="L35" s="63"/>
      <c r="M35" s="64"/>
      <c r="N35" s="63"/>
      <c r="O35" s="64"/>
      <c r="P35" s="63"/>
      <c r="Q35" s="64"/>
      <c r="R35" s="63"/>
      <c r="S35" s="64"/>
      <c r="T35" s="63"/>
      <c r="U35" s="64"/>
      <c r="V35" s="60"/>
      <c r="W35" s="62"/>
      <c r="X35" s="74"/>
      <c r="Y35" s="74"/>
      <c r="Z35" s="74"/>
    </row>
    <row r="36" spans="1:26" ht="15.75" customHeight="1" x14ac:dyDescent="0.3">
      <c r="A36" s="37"/>
      <c r="B36" s="38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74"/>
      <c r="Y36" s="74"/>
      <c r="Z36" s="74"/>
    </row>
    <row r="37" spans="1:26" ht="15.75" customHeight="1" x14ac:dyDescent="0.3">
      <c r="A37" s="66" t="s">
        <v>23</v>
      </c>
      <c r="B37" s="67"/>
      <c r="C37" s="68"/>
      <c r="D37" s="71"/>
      <c r="E37" s="70">
        <f>+E32+E33+E34</f>
        <v>1609053.6140000001</v>
      </c>
      <c r="F37" s="71"/>
      <c r="G37" s="70">
        <f>+G32+G33+G34</f>
        <v>1317211.314</v>
      </c>
      <c r="H37" s="71"/>
      <c r="I37" s="70">
        <f>+I32+I33+I34</f>
        <v>1736064.9739999999</v>
      </c>
      <c r="J37" s="71"/>
      <c r="K37" s="70">
        <f>+K32+K33+K34</f>
        <v>1050345.226</v>
      </c>
      <c r="L37" s="71"/>
      <c r="M37" s="70">
        <f>+M32+M33+M34</f>
        <v>1966799.098</v>
      </c>
      <c r="N37" s="71"/>
      <c r="O37" s="70">
        <f>+O32+O33+O34</f>
        <v>1062855.2</v>
      </c>
      <c r="P37" s="71"/>
      <c r="Q37" s="70">
        <f>+Q32+Q33+Q34</f>
        <v>1979999.99835</v>
      </c>
      <c r="R37" s="71"/>
      <c r="S37" s="70">
        <f>+S32+S33+S34</f>
        <v>1831999.9978499999</v>
      </c>
      <c r="T37" s="71"/>
      <c r="U37" s="70">
        <f>+U32+U33+U34</f>
        <v>1597999.9975500004</v>
      </c>
      <c r="V37" s="69"/>
      <c r="W37" s="72">
        <f>SUM(W32:W33)</f>
        <v>1024933.6459999999</v>
      </c>
      <c r="X37" s="74"/>
      <c r="Y37" s="74"/>
      <c r="Z37" s="74"/>
    </row>
    <row r="38" spans="1:26" ht="33" customHeight="1" x14ac:dyDescent="0.3">
      <c r="A38" s="73" t="s">
        <v>24</v>
      </c>
      <c r="B38" s="280"/>
      <c r="C38" s="269"/>
      <c r="D38" s="266" t="s">
        <v>56</v>
      </c>
      <c r="E38" s="267"/>
      <c r="F38" s="289" t="s">
        <v>57</v>
      </c>
      <c r="G38" s="267"/>
      <c r="H38" s="289" t="s">
        <v>56</v>
      </c>
      <c r="I38" s="267"/>
      <c r="J38" s="289" t="s">
        <v>58</v>
      </c>
      <c r="K38" s="267"/>
      <c r="L38" s="289" t="s">
        <v>56</v>
      </c>
      <c r="M38" s="267"/>
      <c r="N38" s="289" t="s">
        <v>59</v>
      </c>
      <c r="O38" s="267"/>
      <c r="P38" s="289" t="s">
        <v>56</v>
      </c>
      <c r="Q38" s="267"/>
      <c r="R38" s="289" t="s">
        <v>60</v>
      </c>
      <c r="S38" s="267"/>
      <c r="T38" s="289" t="s">
        <v>61</v>
      </c>
      <c r="U38" s="267"/>
      <c r="V38" s="268"/>
      <c r="W38" s="269"/>
      <c r="X38" s="74"/>
      <c r="Y38" s="74"/>
      <c r="Z38" s="74"/>
    </row>
    <row r="39" spans="1:26" ht="15.75" customHeight="1" x14ac:dyDescent="0.3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5.75" customHeight="1" x14ac:dyDescent="0.3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5.75" customHeight="1" x14ac:dyDescent="0.3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5.75" customHeight="1" x14ac:dyDescent="0.3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5.75" customHeight="1" x14ac:dyDescent="0.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5.75" customHeight="1" x14ac:dyDescent="0.3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15.75" customHeight="1" x14ac:dyDescent="0.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15.75" customHeight="1" x14ac:dyDescent="0.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5.75" customHeight="1" x14ac:dyDescent="0.3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5.75" customHeight="1" x14ac:dyDescent="0.3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5.75" customHeight="1" x14ac:dyDescent="0.3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5.75" customHeight="1" x14ac:dyDescent="0.3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5.75" customHeight="1" x14ac:dyDescent="0.3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5.75" customHeight="1" x14ac:dyDescent="0.3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5.75" customHeight="1" x14ac:dyDescent="0.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5.75" customHeight="1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5.75" customHeight="1" x14ac:dyDescent="0.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5.75" customHeight="1" x14ac:dyDescent="0.3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5.75" customHeight="1" x14ac:dyDescent="0.3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5.75" customHeight="1" x14ac:dyDescent="0.3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5.75" customHeight="1" x14ac:dyDescent="0.3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5.75" customHeight="1" x14ac:dyDescent="0.3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5.75" customHeight="1" x14ac:dyDescent="0.3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.75" customHeigh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5.75" customHeigh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5.75" customHeight="1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5.75" customHeigh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5.75" customHeight="1" x14ac:dyDescent="0.3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5.75" customHeigh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5.75" customHeight="1" x14ac:dyDescent="0.3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5.75" customHeight="1" x14ac:dyDescent="0.3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5.75" customHeight="1" x14ac:dyDescent="0.3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5.75" customHeight="1" x14ac:dyDescent="0.3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5.75" customHeight="1" x14ac:dyDescent="0.3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5.75" customHeight="1" x14ac:dyDescent="0.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5.75" customHeight="1" x14ac:dyDescent="0.3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5.75" customHeight="1" x14ac:dyDescent="0.3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5.75" customHeight="1" x14ac:dyDescent="0.3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5.75" customHeight="1" x14ac:dyDescent="0.3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5.75" customHeight="1" x14ac:dyDescent="0.3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5.75" customHeight="1" x14ac:dyDescent="0.3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5.75" customHeight="1" x14ac:dyDescent="0.3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5.75" customHeight="1" x14ac:dyDescent="0.3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5.75" customHeight="1" x14ac:dyDescent="0.3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5.75" customHeight="1" x14ac:dyDescent="0.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5.75" customHeight="1" x14ac:dyDescent="0.3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5.75" customHeight="1" x14ac:dyDescent="0.3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5.75" customHeight="1" x14ac:dyDescent="0.3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5.75" customHeight="1" x14ac:dyDescent="0.3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5.75" customHeight="1" x14ac:dyDescent="0.3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5.75" customHeight="1" x14ac:dyDescent="0.3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5.75" customHeight="1" x14ac:dyDescent="0.3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5.75" customHeight="1" x14ac:dyDescent="0.3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5.75" customHeight="1" x14ac:dyDescent="0.3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5.75" customHeight="1" x14ac:dyDescent="0.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5.75" customHeight="1" x14ac:dyDescent="0.3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5.75" customHeight="1" x14ac:dyDescent="0.3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5.75" customHeight="1" x14ac:dyDescent="0.3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5.75" customHeight="1" x14ac:dyDescent="0.3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5.75" customHeight="1" x14ac:dyDescent="0.3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5.75" customHeight="1" x14ac:dyDescent="0.3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5.75" customHeight="1" x14ac:dyDescent="0.3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5.75" customHeight="1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5.75" customHeight="1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5.75" customHeight="1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5.75" customHeight="1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5.75" customHeight="1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5.75" customHeight="1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5.75" customHeight="1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5.75" customHeight="1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5.75" customHeight="1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5.75" customHeight="1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5.75" customHeight="1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5.75" customHeight="1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5.75" customHeight="1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5.75" customHeight="1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5.75" customHeight="1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5.75" customHeight="1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5.75" customHeight="1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5.75" customHeight="1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5.75" customHeight="1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5.75" customHeight="1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5.75" customHeight="1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5.75" customHeight="1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5.75" customHeight="1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5.75" customHeight="1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5.75" customHeight="1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5.75" customHeight="1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5.75" customHeight="1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5.75" customHeight="1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5.75" customHeight="1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5.75" customHeight="1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5.75" customHeight="1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5.75" customHeight="1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5.75" customHeight="1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5.75" customHeight="1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5.75" customHeight="1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5.75" customHeight="1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5.75" customHeight="1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5.75" customHeight="1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5.75" customHeight="1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5.75" customHeight="1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5.75" customHeight="1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5.75" customHeight="1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5.75" customHeight="1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5.75" customHeight="1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5.75" customHeight="1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5.75" customHeight="1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5.75" customHeight="1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5.75" customHeight="1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5.75" customHeight="1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5.75" customHeight="1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5.75" customHeight="1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5.75" customHeight="1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5.75" customHeight="1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5.75" customHeight="1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5.75" customHeight="1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5.75" customHeight="1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5.75" customHeight="1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5.75" customHeight="1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5.75" customHeight="1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5.75" customHeight="1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5.75" customHeight="1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5.75" customHeight="1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5.75" customHeight="1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5.75" customHeight="1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5.75" customHeight="1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5.75" customHeight="1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5.75" customHeight="1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5.75" customHeight="1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5.75" customHeight="1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5.75" customHeight="1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5.75" customHeight="1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5.75" customHeight="1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5.75" customHeight="1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5.75" customHeight="1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5.75" customHeight="1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5.75" customHeight="1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5.75" customHeight="1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5.75" customHeight="1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5.75" customHeight="1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5.75" customHeight="1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5.75" customHeight="1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5.75" customHeight="1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5.75" customHeight="1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5.75" customHeight="1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5.75" customHeight="1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5.75" customHeight="1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5.75" customHeight="1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5.75" customHeight="1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5.75" customHeight="1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5.75" customHeight="1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5.75" customHeight="1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5.75" customHeight="1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5.75" customHeight="1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5.75" customHeight="1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5.75" customHeight="1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5.75" customHeight="1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5.75" customHeight="1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5.75" customHeight="1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5.75" customHeight="1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5.75" customHeight="1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5.75" customHeight="1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5.75" customHeight="1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5.75" customHeight="1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5.75" customHeight="1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5.75" customHeight="1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5.75" customHeight="1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5.75" customHeight="1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5.75" customHeight="1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5.75" customHeight="1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5.75" customHeight="1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5.75" customHeight="1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5.75" customHeight="1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5.75" customHeight="1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5.75" customHeight="1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5.75" customHeight="1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5.75" customHeight="1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5.75" customHeight="1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5.75" customHeight="1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5.75" customHeight="1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5.75" customHeight="1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5.75" customHeight="1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5.75" customHeight="1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5.75" customHeight="1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5.75" customHeight="1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5.75" customHeight="1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5.75" customHeight="1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5.75" customHeight="1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5.75" customHeight="1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5.75" customHeight="1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5.75" customHeight="1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5.75" customHeight="1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5.75" customHeight="1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5.75" customHeight="1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5.75" customHeight="1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5.75" customHeight="1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5.75" customHeight="1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5.75" customHeight="1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5.75" customHeight="1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5.75" customHeight="1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5.75" customHeight="1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5.75" customHeight="1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5.75" customHeight="1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5.75" customHeight="1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5.75" customHeight="1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5.75" customHeight="1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5.75" customHeight="1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5.75" customHeight="1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5.75" customHeight="1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5.75" customHeight="1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5.75" customHeight="1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5.75" customHeight="1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5.75" customHeight="1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5.75" customHeight="1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5.75" customHeight="1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5.75" customHeight="1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5.75" customHeight="1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5.75" customHeight="1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5.75" customHeight="1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5.75" customHeight="1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5.75" customHeight="1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5.75" customHeight="1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5.75" customHeight="1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5.75" customHeight="1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5.75" customHeight="1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5.75" customHeight="1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5.75" customHeight="1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5.75" customHeight="1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5.75" customHeight="1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5.75" customHeight="1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5.75" customHeight="1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5.75" customHeight="1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5.75" customHeight="1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5.75" customHeight="1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5.75" customHeight="1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5.75" customHeight="1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5.75" customHeight="1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5.75" customHeight="1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5.75" customHeight="1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5.75" customHeight="1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5.75" customHeight="1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5.75" customHeight="1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5.75" customHeight="1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5.75" customHeight="1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5.75" customHeight="1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5.75" customHeight="1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5.75" customHeight="1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5.75" customHeight="1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5.75" customHeight="1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5.75" customHeight="1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5.75" customHeight="1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5.75" customHeight="1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5.75" customHeight="1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5.75" customHeight="1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5.75" customHeight="1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5.75" customHeight="1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5.75" customHeight="1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5.75" customHeight="1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5.75" customHeight="1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5.75" customHeight="1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5.75" customHeight="1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5.75" customHeight="1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5.75" customHeight="1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5.75" customHeight="1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5.75" customHeight="1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5.75" customHeight="1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5.75" customHeight="1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5.75" customHeight="1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5.75" customHeight="1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5.75" customHeight="1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5.75" customHeight="1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5.75" customHeight="1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5.75" customHeight="1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5.75" customHeight="1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5.75" customHeight="1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5.75" customHeight="1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5.75" customHeight="1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5.75" customHeight="1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5.75" customHeight="1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5.75" customHeight="1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5.75" customHeight="1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5.75" customHeight="1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5.75" customHeight="1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5.75" customHeight="1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5.75" customHeight="1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5.75" customHeight="1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5.75" customHeight="1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5.75" customHeight="1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5.75" customHeight="1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5.75" customHeight="1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5.75" customHeight="1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5.75" customHeight="1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5.75" customHeight="1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5.75" customHeight="1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5.75" customHeight="1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5.75" customHeight="1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5.75" customHeight="1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5.75" customHeight="1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5.75" customHeight="1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5.75" customHeight="1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5.75" customHeight="1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5.75" customHeight="1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5.75" customHeight="1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5.75" customHeight="1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5.75" customHeight="1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5.75" customHeight="1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5.75" customHeight="1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5.75" customHeight="1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5.75" customHeight="1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5.75" customHeight="1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5.75" customHeight="1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5.75" customHeight="1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5.75" customHeight="1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5.75" customHeight="1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5.75" customHeight="1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5.75" customHeight="1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5.75" customHeight="1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5.75" customHeight="1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5.75" customHeight="1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5.75" customHeight="1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5.75" customHeight="1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5.75" customHeight="1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5.75" customHeight="1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5.75" customHeight="1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5.75" customHeight="1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5.75" customHeight="1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5.75" customHeight="1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5.75" customHeight="1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5.75" customHeight="1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5.75" customHeight="1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5.75" customHeight="1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5.75" customHeight="1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5.75" customHeight="1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5.75" customHeight="1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5.75" customHeight="1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5.75" customHeight="1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5.75" customHeight="1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5.75" customHeight="1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5.75" customHeight="1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5.75" customHeight="1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5.75" customHeight="1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5.75" customHeight="1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5.75" customHeight="1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5.75" customHeight="1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5.75" customHeight="1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5.75" customHeight="1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5.75" customHeight="1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5.75" customHeight="1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5.75" customHeight="1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5.75" customHeight="1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5.75" customHeight="1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5.75" customHeight="1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5.75" customHeight="1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5.75" customHeight="1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5.75" customHeight="1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5.75" customHeight="1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5.75" customHeight="1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5.75" customHeight="1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5.75" customHeight="1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5.75" customHeight="1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5.75" customHeight="1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5.75" customHeight="1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5.75" customHeight="1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5.75" customHeight="1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5.75" customHeight="1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5.75" customHeight="1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5.75" customHeight="1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5.75" customHeight="1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5.75" customHeight="1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5.75" customHeight="1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5.75" customHeight="1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5.75" customHeight="1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5.75" customHeight="1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5.75" customHeight="1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5.75" customHeight="1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5.75" customHeight="1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5.75" customHeight="1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5.75" customHeight="1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5.75" customHeight="1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5.75" customHeight="1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5.75" customHeight="1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5.75" customHeight="1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5.75" customHeight="1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5.75" customHeight="1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5.75" customHeight="1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5.75" customHeight="1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5.75" customHeight="1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5.75" customHeight="1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5.75" customHeight="1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5.75" customHeight="1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5.75" customHeight="1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5.75" customHeight="1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5.75" customHeight="1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5.75" customHeight="1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5.75" customHeight="1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5.75" customHeight="1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5.75" customHeight="1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5.75" customHeight="1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5.75" customHeight="1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5.75" customHeight="1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5.75" customHeight="1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5.75" customHeight="1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5.75" customHeight="1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5.75" customHeight="1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5.75" customHeight="1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5.75" customHeight="1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5.75" customHeight="1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5.75" customHeight="1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5.75" customHeight="1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5.75" customHeight="1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5.75" customHeight="1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5.75" customHeight="1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5.75" customHeight="1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5.75" customHeight="1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5.75" customHeight="1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5.75" customHeight="1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5.75" customHeight="1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5.75" customHeight="1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5.75" customHeight="1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5.75" customHeight="1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5.75" customHeight="1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5.75" customHeight="1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5.75" customHeight="1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5.75" customHeight="1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5.75" customHeight="1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5.75" customHeight="1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5.75" customHeight="1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5.75" customHeight="1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5.75" customHeight="1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5.75" customHeight="1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5.75" customHeight="1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5.75" customHeight="1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5.75" customHeight="1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5.75" customHeight="1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5.75" customHeight="1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5.75" customHeight="1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5.75" customHeight="1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5.75" customHeight="1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5.75" customHeight="1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5.75" customHeight="1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5.75" customHeight="1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5.75" customHeight="1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5.75" customHeight="1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5.75" customHeight="1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5.75" customHeight="1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5.75" customHeight="1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5.75" customHeight="1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 x14ac:dyDescent="0.3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 x14ac:dyDescent="0.3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 x14ac:dyDescent="0.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 x14ac:dyDescent="0.3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 x14ac:dyDescent="0.3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 x14ac:dyDescent="0.3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 x14ac:dyDescent="0.3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 x14ac:dyDescent="0.3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 x14ac:dyDescent="0.3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 x14ac:dyDescent="0.3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 x14ac:dyDescent="0.3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 x14ac:dyDescent="0.3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 x14ac:dyDescent="0.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 x14ac:dyDescent="0.3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 x14ac:dyDescent="0.3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 x14ac:dyDescent="0.3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 x14ac:dyDescent="0.3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 x14ac:dyDescent="0.3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 x14ac:dyDescent="0.3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 x14ac:dyDescent="0.3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 x14ac:dyDescent="0.3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 x14ac:dyDescent="0.3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 x14ac:dyDescent="0.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 x14ac:dyDescent="0.3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 x14ac:dyDescent="0.3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 x14ac:dyDescent="0.3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 x14ac:dyDescent="0.3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 x14ac:dyDescent="0.3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 x14ac:dyDescent="0.3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 x14ac:dyDescent="0.3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 x14ac:dyDescent="0.3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 x14ac:dyDescent="0.3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 x14ac:dyDescent="0.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 x14ac:dyDescent="0.3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 x14ac:dyDescent="0.3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 x14ac:dyDescent="0.3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 x14ac:dyDescent="0.3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 x14ac:dyDescent="0.3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 x14ac:dyDescent="0.3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 x14ac:dyDescent="0.3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 x14ac:dyDescent="0.3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 x14ac:dyDescent="0.3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 x14ac:dyDescent="0.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 x14ac:dyDescent="0.3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 x14ac:dyDescent="0.3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 x14ac:dyDescent="0.3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 x14ac:dyDescent="0.3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 x14ac:dyDescent="0.3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 x14ac:dyDescent="0.3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 x14ac:dyDescent="0.3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 x14ac:dyDescent="0.3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 x14ac:dyDescent="0.3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 x14ac:dyDescent="0.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 x14ac:dyDescent="0.3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 x14ac:dyDescent="0.3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 x14ac:dyDescent="0.3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 x14ac:dyDescent="0.3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 x14ac:dyDescent="0.3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 x14ac:dyDescent="0.3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 x14ac:dyDescent="0.3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 x14ac:dyDescent="0.3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 x14ac:dyDescent="0.3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 x14ac:dyDescent="0.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 x14ac:dyDescent="0.3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 x14ac:dyDescent="0.3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 x14ac:dyDescent="0.3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 x14ac:dyDescent="0.3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 x14ac:dyDescent="0.3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 x14ac:dyDescent="0.3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 x14ac:dyDescent="0.3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 x14ac:dyDescent="0.3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 x14ac:dyDescent="0.3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 x14ac:dyDescent="0.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 x14ac:dyDescent="0.3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 x14ac:dyDescent="0.3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 x14ac:dyDescent="0.3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 x14ac:dyDescent="0.3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 x14ac:dyDescent="0.3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 x14ac:dyDescent="0.3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 x14ac:dyDescent="0.3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 x14ac:dyDescent="0.3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 x14ac:dyDescent="0.3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 x14ac:dyDescent="0.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 x14ac:dyDescent="0.3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 x14ac:dyDescent="0.3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 x14ac:dyDescent="0.3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 x14ac:dyDescent="0.3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 x14ac:dyDescent="0.3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 x14ac:dyDescent="0.3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 x14ac:dyDescent="0.3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 x14ac:dyDescent="0.3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 x14ac:dyDescent="0.3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 x14ac:dyDescent="0.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 x14ac:dyDescent="0.3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 x14ac:dyDescent="0.3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 x14ac:dyDescent="0.3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 x14ac:dyDescent="0.3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 x14ac:dyDescent="0.3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 x14ac:dyDescent="0.3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 x14ac:dyDescent="0.3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 x14ac:dyDescent="0.3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 x14ac:dyDescent="0.3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 x14ac:dyDescent="0.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 x14ac:dyDescent="0.3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 x14ac:dyDescent="0.3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 x14ac:dyDescent="0.3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 x14ac:dyDescent="0.3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 x14ac:dyDescent="0.3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 x14ac:dyDescent="0.3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 x14ac:dyDescent="0.3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 x14ac:dyDescent="0.3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 x14ac:dyDescent="0.3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 x14ac:dyDescent="0.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 x14ac:dyDescent="0.3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 x14ac:dyDescent="0.3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 x14ac:dyDescent="0.3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 x14ac:dyDescent="0.3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 x14ac:dyDescent="0.3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 x14ac:dyDescent="0.3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 x14ac:dyDescent="0.3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 x14ac:dyDescent="0.3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 x14ac:dyDescent="0.3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 x14ac:dyDescent="0.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 x14ac:dyDescent="0.3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 x14ac:dyDescent="0.3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 x14ac:dyDescent="0.3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 x14ac:dyDescent="0.3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 x14ac:dyDescent="0.3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 x14ac:dyDescent="0.3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 x14ac:dyDescent="0.3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 x14ac:dyDescent="0.3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 x14ac:dyDescent="0.3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 x14ac:dyDescent="0.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 x14ac:dyDescent="0.3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 x14ac:dyDescent="0.3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 x14ac:dyDescent="0.3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 x14ac:dyDescent="0.3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 x14ac:dyDescent="0.3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 x14ac:dyDescent="0.3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 x14ac:dyDescent="0.3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 x14ac:dyDescent="0.3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 x14ac:dyDescent="0.3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 x14ac:dyDescent="0.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 x14ac:dyDescent="0.3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 x14ac:dyDescent="0.3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 x14ac:dyDescent="0.3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 x14ac:dyDescent="0.3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 x14ac:dyDescent="0.3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 x14ac:dyDescent="0.3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 x14ac:dyDescent="0.3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 x14ac:dyDescent="0.3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 x14ac:dyDescent="0.3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 x14ac:dyDescent="0.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 x14ac:dyDescent="0.3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 x14ac:dyDescent="0.3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 x14ac:dyDescent="0.3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 x14ac:dyDescent="0.3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 x14ac:dyDescent="0.3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 x14ac:dyDescent="0.3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 x14ac:dyDescent="0.3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 x14ac:dyDescent="0.3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 x14ac:dyDescent="0.3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 x14ac:dyDescent="0.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 x14ac:dyDescent="0.3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 x14ac:dyDescent="0.3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 x14ac:dyDescent="0.3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 x14ac:dyDescent="0.3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 x14ac:dyDescent="0.3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 x14ac:dyDescent="0.3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 x14ac:dyDescent="0.3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 x14ac:dyDescent="0.3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 x14ac:dyDescent="0.3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 x14ac:dyDescent="0.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 x14ac:dyDescent="0.3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 x14ac:dyDescent="0.3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 x14ac:dyDescent="0.3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 x14ac:dyDescent="0.3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 x14ac:dyDescent="0.3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 x14ac:dyDescent="0.3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 x14ac:dyDescent="0.3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 x14ac:dyDescent="0.3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 x14ac:dyDescent="0.3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 x14ac:dyDescent="0.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 x14ac:dyDescent="0.3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 x14ac:dyDescent="0.3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 x14ac:dyDescent="0.3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 x14ac:dyDescent="0.3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 x14ac:dyDescent="0.3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 x14ac:dyDescent="0.3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 x14ac:dyDescent="0.3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 x14ac:dyDescent="0.3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 x14ac:dyDescent="0.3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 x14ac:dyDescent="0.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 x14ac:dyDescent="0.3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 x14ac:dyDescent="0.3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 x14ac:dyDescent="0.3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 x14ac:dyDescent="0.3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 x14ac:dyDescent="0.3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 x14ac:dyDescent="0.3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 x14ac:dyDescent="0.3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 x14ac:dyDescent="0.3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 x14ac:dyDescent="0.3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 x14ac:dyDescent="0.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 x14ac:dyDescent="0.3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 x14ac:dyDescent="0.3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 x14ac:dyDescent="0.3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 x14ac:dyDescent="0.3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 x14ac:dyDescent="0.3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 x14ac:dyDescent="0.3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 x14ac:dyDescent="0.3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 x14ac:dyDescent="0.3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 x14ac:dyDescent="0.3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 x14ac:dyDescent="0.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 x14ac:dyDescent="0.3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 x14ac:dyDescent="0.3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 x14ac:dyDescent="0.3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 x14ac:dyDescent="0.3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 x14ac:dyDescent="0.3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 x14ac:dyDescent="0.3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 x14ac:dyDescent="0.3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 x14ac:dyDescent="0.3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 x14ac:dyDescent="0.3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 x14ac:dyDescent="0.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 x14ac:dyDescent="0.3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 x14ac:dyDescent="0.3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 x14ac:dyDescent="0.3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 x14ac:dyDescent="0.3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 x14ac:dyDescent="0.3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 x14ac:dyDescent="0.3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 x14ac:dyDescent="0.3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 x14ac:dyDescent="0.3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 x14ac:dyDescent="0.3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 x14ac:dyDescent="0.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 x14ac:dyDescent="0.3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 x14ac:dyDescent="0.3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 x14ac:dyDescent="0.3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 x14ac:dyDescent="0.3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 x14ac:dyDescent="0.3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 x14ac:dyDescent="0.3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 x14ac:dyDescent="0.3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 x14ac:dyDescent="0.3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 x14ac:dyDescent="0.3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 x14ac:dyDescent="0.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 x14ac:dyDescent="0.3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 x14ac:dyDescent="0.3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 x14ac:dyDescent="0.3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 x14ac:dyDescent="0.3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 x14ac:dyDescent="0.3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 x14ac:dyDescent="0.3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 x14ac:dyDescent="0.3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 x14ac:dyDescent="0.3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 x14ac:dyDescent="0.3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 x14ac:dyDescent="0.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 x14ac:dyDescent="0.3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 x14ac:dyDescent="0.3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 x14ac:dyDescent="0.3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 x14ac:dyDescent="0.3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 x14ac:dyDescent="0.3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 x14ac:dyDescent="0.3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 x14ac:dyDescent="0.3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 x14ac:dyDescent="0.3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 x14ac:dyDescent="0.3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 x14ac:dyDescent="0.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 x14ac:dyDescent="0.3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 x14ac:dyDescent="0.3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 x14ac:dyDescent="0.3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 x14ac:dyDescent="0.3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 x14ac:dyDescent="0.3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 x14ac:dyDescent="0.3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 x14ac:dyDescent="0.3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 x14ac:dyDescent="0.3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 x14ac:dyDescent="0.3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 x14ac:dyDescent="0.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 x14ac:dyDescent="0.3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 x14ac:dyDescent="0.3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 x14ac:dyDescent="0.3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 x14ac:dyDescent="0.3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 x14ac:dyDescent="0.3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 x14ac:dyDescent="0.3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 x14ac:dyDescent="0.3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 x14ac:dyDescent="0.3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 x14ac:dyDescent="0.3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 x14ac:dyDescent="0.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 x14ac:dyDescent="0.3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 x14ac:dyDescent="0.3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 x14ac:dyDescent="0.3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 x14ac:dyDescent="0.3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 x14ac:dyDescent="0.3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 x14ac:dyDescent="0.3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 x14ac:dyDescent="0.3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 x14ac:dyDescent="0.3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 x14ac:dyDescent="0.3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 x14ac:dyDescent="0.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 x14ac:dyDescent="0.3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 x14ac:dyDescent="0.3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 x14ac:dyDescent="0.3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 x14ac:dyDescent="0.3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 x14ac:dyDescent="0.3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5.75" customHeight="1" x14ac:dyDescent="0.3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5.75" customHeight="1" x14ac:dyDescent="0.3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5.75" customHeight="1" x14ac:dyDescent="0.3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5.75" customHeight="1" x14ac:dyDescent="0.3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5.75" customHeight="1" x14ac:dyDescent="0.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5.75" customHeight="1" x14ac:dyDescent="0.3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5.75" customHeight="1" x14ac:dyDescent="0.3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5.75" customHeight="1" x14ac:dyDescent="0.3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5.75" customHeight="1" x14ac:dyDescent="0.3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5.75" customHeight="1" x14ac:dyDescent="0.3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5.75" customHeight="1" x14ac:dyDescent="0.3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5.75" customHeight="1" x14ac:dyDescent="0.3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5.75" customHeight="1" x14ac:dyDescent="0.3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5.75" customHeight="1" x14ac:dyDescent="0.3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5.75" customHeight="1" x14ac:dyDescent="0.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5.75" customHeight="1" x14ac:dyDescent="0.3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5.75" customHeight="1" x14ac:dyDescent="0.3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5.75" customHeight="1" x14ac:dyDescent="0.3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5.75" customHeight="1" x14ac:dyDescent="0.3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5.75" customHeight="1" x14ac:dyDescent="0.3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5.75" customHeight="1" x14ac:dyDescent="0.3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5.75" customHeight="1" x14ac:dyDescent="0.3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5.75" customHeight="1" x14ac:dyDescent="0.3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5.75" customHeight="1" x14ac:dyDescent="0.3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5.75" customHeight="1" x14ac:dyDescent="0.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5.75" customHeight="1" x14ac:dyDescent="0.3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5.75" customHeight="1" x14ac:dyDescent="0.3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5.75" customHeight="1" x14ac:dyDescent="0.3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5.75" customHeight="1" x14ac:dyDescent="0.3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5.75" customHeight="1" x14ac:dyDescent="0.3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5.75" customHeight="1" x14ac:dyDescent="0.3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5.75" customHeight="1" x14ac:dyDescent="0.3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5.75" customHeight="1" x14ac:dyDescent="0.3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5.75" customHeight="1" x14ac:dyDescent="0.3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5.75" customHeight="1" x14ac:dyDescent="0.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5.75" customHeight="1" x14ac:dyDescent="0.3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5.75" customHeight="1" x14ac:dyDescent="0.3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5.75" customHeight="1" x14ac:dyDescent="0.3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5.75" customHeight="1" x14ac:dyDescent="0.3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5.75" customHeight="1" x14ac:dyDescent="0.3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5.75" customHeight="1" x14ac:dyDescent="0.3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5.75" customHeight="1" x14ac:dyDescent="0.3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5.75" customHeight="1" x14ac:dyDescent="0.3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5.75" customHeight="1" x14ac:dyDescent="0.3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5.75" customHeight="1" x14ac:dyDescent="0.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5.75" customHeight="1" x14ac:dyDescent="0.3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5.75" customHeight="1" x14ac:dyDescent="0.3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5.75" customHeight="1" x14ac:dyDescent="0.3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5.75" customHeight="1" x14ac:dyDescent="0.3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5.75" customHeight="1" x14ac:dyDescent="0.3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5.75" customHeight="1" x14ac:dyDescent="0.3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5.75" customHeight="1" x14ac:dyDescent="0.3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5.75" customHeight="1" x14ac:dyDescent="0.3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5.75" customHeight="1" x14ac:dyDescent="0.3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5.75" customHeight="1" x14ac:dyDescent="0.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5.75" customHeight="1" x14ac:dyDescent="0.3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5.75" customHeight="1" x14ac:dyDescent="0.3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5.75" customHeight="1" x14ac:dyDescent="0.3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5.75" customHeight="1" x14ac:dyDescent="0.3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5.75" customHeight="1" x14ac:dyDescent="0.3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5.75" customHeight="1" x14ac:dyDescent="0.3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5.75" customHeight="1" x14ac:dyDescent="0.3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5.75" customHeight="1" x14ac:dyDescent="0.3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5.75" customHeight="1" x14ac:dyDescent="0.3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5.75" customHeight="1" x14ac:dyDescent="0.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5.75" customHeight="1" x14ac:dyDescent="0.3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5.75" customHeight="1" x14ac:dyDescent="0.3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5.75" customHeight="1" x14ac:dyDescent="0.3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5.75" customHeight="1" x14ac:dyDescent="0.3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5.75" customHeight="1" x14ac:dyDescent="0.3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5.75" customHeight="1" x14ac:dyDescent="0.3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5.75" customHeight="1" x14ac:dyDescent="0.3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5.75" customHeight="1" x14ac:dyDescent="0.3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5.75" customHeight="1" x14ac:dyDescent="0.3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5.75" customHeight="1" x14ac:dyDescent="0.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5.75" customHeight="1" x14ac:dyDescent="0.3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5.75" customHeight="1" x14ac:dyDescent="0.3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5.75" customHeight="1" x14ac:dyDescent="0.3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5.75" customHeight="1" x14ac:dyDescent="0.3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5.75" customHeight="1" x14ac:dyDescent="0.3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5.75" customHeight="1" x14ac:dyDescent="0.3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5.75" customHeight="1" x14ac:dyDescent="0.3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5.75" customHeight="1" x14ac:dyDescent="0.3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5.75" customHeight="1" x14ac:dyDescent="0.3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5.75" customHeight="1" x14ac:dyDescent="0.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5.75" customHeight="1" x14ac:dyDescent="0.3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5.75" customHeight="1" x14ac:dyDescent="0.3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5.75" customHeight="1" x14ac:dyDescent="0.3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5.75" customHeight="1" x14ac:dyDescent="0.3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5.75" customHeight="1" x14ac:dyDescent="0.3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5.75" customHeight="1" x14ac:dyDescent="0.3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5.75" customHeight="1" x14ac:dyDescent="0.3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5.75" customHeight="1" x14ac:dyDescent="0.3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5.75" customHeight="1" x14ac:dyDescent="0.3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5.75" customHeight="1" x14ac:dyDescent="0.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5.75" customHeight="1" x14ac:dyDescent="0.3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5.75" customHeight="1" x14ac:dyDescent="0.3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5.75" customHeight="1" x14ac:dyDescent="0.3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5.75" customHeight="1" x14ac:dyDescent="0.3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5.75" customHeight="1" x14ac:dyDescent="0.3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5.75" customHeight="1" x14ac:dyDescent="0.3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5.75" customHeight="1" x14ac:dyDescent="0.3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5.75" customHeight="1" x14ac:dyDescent="0.3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5.75" customHeight="1" x14ac:dyDescent="0.3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5.75" customHeight="1" x14ac:dyDescent="0.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5.75" customHeight="1" x14ac:dyDescent="0.3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5.75" customHeight="1" x14ac:dyDescent="0.3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5.75" customHeight="1" x14ac:dyDescent="0.3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5.75" customHeight="1" x14ac:dyDescent="0.3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5.75" customHeight="1" x14ac:dyDescent="0.3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5.75" customHeight="1" x14ac:dyDescent="0.3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5.75" customHeight="1" x14ac:dyDescent="0.3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5.75" customHeight="1" x14ac:dyDescent="0.3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5.75" customHeight="1" x14ac:dyDescent="0.3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5.75" customHeight="1" x14ac:dyDescent="0.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5.75" customHeight="1" x14ac:dyDescent="0.3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5.75" customHeight="1" x14ac:dyDescent="0.3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5.75" customHeight="1" x14ac:dyDescent="0.3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5.75" customHeight="1" x14ac:dyDescent="0.3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5.75" customHeight="1" x14ac:dyDescent="0.3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5.75" customHeight="1" x14ac:dyDescent="0.3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5.75" customHeight="1" x14ac:dyDescent="0.3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5.75" customHeight="1" x14ac:dyDescent="0.3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5.75" customHeight="1" x14ac:dyDescent="0.3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5.75" customHeight="1" x14ac:dyDescent="0.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5.75" customHeight="1" x14ac:dyDescent="0.3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5.75" customHeight="1" x14ac:dyDescent="0.3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5.75" customHeight="1" x14ac:dyDescent="0.3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5.75" customHeight="1" x14ac:dyDescent="0.3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5.75" customHeight="1" x14ac:dyDescent="0.3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5.75" customHeight="1" x14ac:dyDescent="0.3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5.75" customHeight="1" x14ac:dyDescent="0.3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5.75" customHeight="1" x14ac:dyDescent="0.3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5.75" customHeight="1" x14ac:dyDescent="0.3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5.75" customHeight="1" x14ac:dyDescent="0.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5.75" customHeight="1" x14ac:dyDescent="0.3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5.75" customHeight="1" x14ac:dyDescent="0.3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5.75" customHeight="1" x14ac:dyDescent="0.3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5.75" customHeight="1" x14ac:dyDescent="0.3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5.75" customHeight="1" x14ac:dyDescent="0.3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5.75" customHeight="1" x14ac:dyDescent="0.3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5.75" customHeight="1" x14ac:dyDescent="0.3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5.75" customHeight="1" x14ac:dyDescent="0.3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5.75" customHeight="1" x14ac:dyDescent="0.3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5.75" customHeight="1" x14ac:dyDescent="0.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5.75" customHeight="1" x14ac:dyDescent="0.3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5.75" customHeight="1" x14ac:dyDescent="0.3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5.75" customHeight="1" x14ac:dyDescent="0.3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5.75" customHeight="1" x14ac:dyDescent="0.3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5.75" customHeight="1" x14ac:dyDescent="0.3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5.75" customHeight="1" x14ac:dyDescent="0.3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5.75" customHeight="1" x14ac:dyDescent="0.3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5.75" customHeight="1" x14ac:dyDescent="0.3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5.75" customHeight="1" x14ac:dyDescent="0.3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5.75" customHeight="1" x14ac:dyDescent="0.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5.75" customHeight="1" x14ac:dyDescent="0.3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5.75" customHeight="1" x14ac:dyDescent="0.3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5.75" customHeight="1" x14ac:dyDescent="0.3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5.75" customHeight="1" x14ac:dyDescent="0.3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5.75" customHeight="1" x14ac:dyDescent="0.3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5.75" customHeight="1" x14ac:dyDescent="0.3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5.75" customHeight="1" x14ac:dyDescent="0.3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5.75" customHeight="1" x14ac:dyDescent="0.3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5.75" customHeight="1" x14ac:dyDescent="0.3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5.75" customHeight="1" x14ac:dyDescent="0.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5.75" customHeight="1" x14ac:dyDescent="0.3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5.75" customHeight="1" x14ac:dyDescent="0.3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5.75" customHeight="1" x14ac:dyDescent="0.3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5.75" customHeight="1" x14ac:dyDescent="0.3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5.75" customHeight="1" x14ac:dyDescent="0.3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5.75" customHeight="1" x14ac:dyDescent="0.3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5.75" customHeight="1" x14ac:dyDescent="0.3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5.75" customHeight="1" x14ac:dyDescent="0.3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5.75" customHeight="1" x14ac:dyDescent="0.3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5.75" customHeight="1" x14ac:dyDescent="0.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5.75" customHeight="1" x14ac:dyDescent="0.3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5.75" customHeight="1" x14ac:dyDescent="0.3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5.75" customHeight="1" x14ac:dyDescent="0.3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5.75" customHeight="1" x14ac:dyDescent="0.3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5.75" customHeight="1" x14ac:dyDescent="0.3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5.75" customHeight="1" x14ac:dyDescent="0.3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5.75" customHeight="1" x14ac:dyDescent="0.3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5.75" customHeight="1" x14ac:dyDescent="0.3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5.75" customHeight="1" x14ac:dyDescent="0.3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5.75" customHeight="1" x14ac:dyDescent="0.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5.75" customHeight="1" x14ac:dyDescent="0.3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5.75" customHeight="1" x14ac:dyDescent="0.3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5.75" customHeight="1" x14ac:dyDescent="0.3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5.75" customHeight="1" x14ac:dyDescent="0.3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5.75" customHeight="1" x14ac:dyDescent="0.3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5.75" customHeight="1" x14ac:dyDescent="0.3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5.75" customHeight="1" x14ac:dyDescent="0.3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5.75" customHeight="1" x14ac:dyDescent="0.3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5.75" customHeight="1" x14ac:dyDescent="0.3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5.75" customHeight="1" x14ac:dyDescent="0.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5.75" customHeight="1" x14ac:dyDescent="0.3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5.75" customHeight="1" x14ac:dyDescent="0.3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5.75" customHeight="1" x14ac:dyDescent="0.3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5.75" customHeight="1" x14ac:dyDescent="0.3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5.75" customHeight="1" x14ac:dyDescent="0.3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5.75" customHeight="1" x14ac:dyDescent="0.3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5.75" customHeight="1" x14ac:dyDescent="0.3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27">
    <mergeCell ref="N10:O10"/>
    <mergeCell ref="P10:U10"/>
    <mergeCell ref="A8:W8"/>
    <mergeCell ref="A10:A11"/>
    <mergeCell ref="B10:B11"/>
    <mergeCell ref="C10:C11"/>
    <mergeCell ref="D10:G10"/>
    <mergeCell ref="L10:M10"/>
    <mergeCell ref="V10:W10"/>
    <mergeCell ref="H10:K10"/>
    <mergeCell ref="A27:V27"/>
    <mergeCell ref="B28:C28"/>
    <mergeCell ref="B30:C30"/>
    <mergeCell ref="B31:C31"/>
    <mergeCell ref="B32:C32"/>
    <mergeCell ref="B33:C33"/>
    <mergeCell ref="P38:Q38"/>
    <mergeCell ref="R38:S38"/>
    <mergeCell ref="T38:U38"/>
    <mergeCell ref="V38:W38"/>
    <mergeCell ref="B38:C38"/>
    <mergeCell ref="D38:E38"/>
    <mergeCell ref="F38:G38"/>
    <mergeCell ref="H38:I38"/>
    <mergeCell ref="J38:K38"/>
    <mergeCell ref="L38:M38"/>
    <mergeCell ref="N38:O38"/>
  </mergeCells>
  <pageMargins left="0.7" right="0.7" top="0.75" bottom="0.75" header="0" footer="0"/>
  <pageSetup paperSize="9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000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4.44140625" defaultRowHeight="15" customHeight="1" x14ac:dyDescent="0.3"/>
  <cols>
    <col min="1" max="1" width="35.5546875" customWidth="1"/>
    <col min="2" max="3" width="10.5546875" customWidth="1"/>
    <col min="4" max="11" width="15" customWidth="1"/>
    <col min="12" max="12" width="14.5546875" customWidth="1"/>
    <col min="13" max="13" width="15" customWidth="1"/>
    <col min="14" max="14" width="14.5546875" customWidth="1"/>
    <col min="15" max="17" width="15" customWidth="1"/>
    <col min="18" max="19" width="10.5546875" customWidth="1"/>
  </cols>
  <sheetData>
    <row r="1" spans="1:19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9" x14ac:dyDescent="0.3">
      <c r="A2" s="5" t="s">
        <v>67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9" x14ac:dyDescent="0.3">
      <c r="A3" s="5" t="s">
        <v>1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9" x14ac:dyDescent="0.3">
      <c r="A4" s="5" t="s">
        <v>2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4"/>
    </row>
    <row r="5" spans="1:19" x14ac:dyDescent="0.3">
      <c r="A5" s="5" t="s">
        <v>3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</row>
    <row r="6" spans="1:19" x14ac:dyDescent="0.3">
      <c r="A6" s="5" t="s">
        <v>68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spans="1:19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</row>
    <row r="8" spans="1:19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5"/>
    </row>
    <row r="9" spans="1:19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</row>
    <row r="10" spans="1:19" ht="14.4" x14ac:dyDescent="0.3">
      <c r="A10" s="286" t="s">
        <v>6</v>
      </c>
      <c r="B10" s="286" t="s">
        <v>7</v>
      </c>
      <c r="C10" s="293" t="s">
        <v>8</v>
      </c>
      <c r="D10" s="270" t="s">
        <v>11</v>
      </c>
      <c r="E10" s="271"/>
      <c r="F10" s="270" t="s">
        <v>69</v>
      </c>
      <c r="G10" s="282"/>
      <c r="H10" s="270" t="s">
        <v>9</v>
      </c>
      <c r="I10" s="271"/>
      <c r="J10" s="270" t="s">
        <v>70</v>
      </c>
      <c r="K10" s="282"/>
      <c r="L10" s="140"/>
      <c r="M10" s="140"/>
      <c r="N10" s="297"/>
      <c r="O10" s="271"/>
      <c r="P10" s="270" t="s">
        <v>12</v>
      </c>
      <c r="Q10" s="271"/>
    </row>
    <row r="11" spans="1:19" ht="12" customHeight="1" x14ac:dyDescent="0.3">
      <c r="A11" s="287"/>
      <c r="B11" s="287"/>
      <c r="C11" s="298"/>
      <c r="D11" s="8" t="s">
        <v>13</v>
      </c>
      <c r="E11" s="10" t="s">
        <v>14</v>
      </c>
      <c r="F11" s="8" t="s">
        <v>13</v>
      </c>
      <c r="G11" s="9" t="s">
        <v>14</v>
      </c>
      <c r="H11" s="8" t="s">
        <v>13</v>
      </c>
      <c r="I11" s="10" t="s">
        <v>14</v>
      </c>
      <c r="J11" s="141" t="s">
        <v>13</v>
      </c>
      <c r="K11" s="10" t="s">
        <v>14</v>
      </c>
      <c r="L11" s="8" t="s">
        <v>13</v>
      </c>
      <c r="M11" s="10" t="s">
        <v>14</v>
      </c>
      <c r="N11" s="8" t="s">
        <v>13</v>
      </c>
      <c r="O11" s="10" t="s">
        <v>14</v>
      </c>
      <c r="P11" s="141" t="s">
        <v>13</v>
      </c>
      <c r="Q11" s="10" t="s">
        <v>14</v>
      </c>
    </row>
    <row r="12" spans="1:19" ht="14.4" x14ac:dyDescent="0.3">
      <c r="A12" s="11" t="s">
        <v>71</v>
      </c>
      <c r="B12" s="12" t="s">
        <v>72</v>
      </c>
      <c r="C12" s="142">
        <v>20</v>
      </c>
      <c r="D12" s="14">
        <f>1600/1.21</f>
        <v>1322.3140495867769</v>
      </c>
      <c r="E12" s="16">
        <f t="shared" ref="E12:E28" si="0">D12*C12</f>
        <v>26446.280991735541</v>
      </c>
      <c r="F12" s="14"/>
      <c r="G12" s="15">
        <f t="shared" ref="G12:G28" si="1">F12*C12</f>
        <v>0</v>
      </c>
      <c r="H12" s="21">
        <v>904.71</v>
      </c>
      <c r="I12" s="16">
        <f t="shared" ref="I12:I28" si="2">H12*C12</f>
        <v>18094.2</v>
      </c>
      <c r="J12" s="143">
        <f>737.31</f>
        <v>737.31</v>
      </c>
      <c r="K12" s="16">
        <f t="shared" ref="K12:K28" si="3">J12*C12</f>
        <v>14746.199999999999</v>
      </c>
      <c r="L12" s="14"/>
      <c r="M12" s="16">
        <f t="shared" ref="M12:M28" si="4">L12*C12</f>
        <v>0</v>
      </c>
      <c r="N12" s="14"/>
      <c r="O12" s="16">
        <f>N12*C12</f>
        <v>0</v>
      </c>
      <c r="P12" s="144">
        <f t="shared" ref="P12:P28" si="5">MIN(D12,F12,H12,L12,J12)</f>
        <v>737.31</v>
      </c>
      <c r="Q12" s="18">
        <f t="shared" ref="Q12:Q28" si="6">P12*C12</f>
        <v>14746.199999999999</v>
      </c>
      <c r="R12" s="19"/>
      <c r="S12" s="20"/>
    </row>
    <row r="13" spans="1:19" ht="14.4" x14ac:dyDescent="0.3">
      <c r="A13" s="11" t="s">
        <v>73</v>
      </c>
      <c r="B13" s="12" t="s">
        <v>72</v>
      </c>
      <c r="C13" s="142">
        <v>30</v>
      </c>
      <c r="D13" s="14">
        <f>2200/1.21</f>
        <v>1818.1818181818182</v>
      </c>
      <c r="E13" s="16">
        <f t="shared" si="0"/>
        <v>54545.454545454544</v>
      </c>
      <c r="F13" s="14"/>
      <c r="G13" s="15">
        <f t="shared" si="1"/>
        <v>0</v>
      </c>
      <c r="H13" s="21">
        <v>1305.08</v>
      </c>
      <c r="I13" s="16">
        <f t="shared" si="2"/>
        <v>39152.399999999994</v>
      </c>
      <c r="J13" s="143">
        <f>810.7</f>
        <v>810.7</v>
      </c>
      <c r="K13" s="16">
        <f t="shared" si="3"/>
        <v>24321</v>
      </c>
      <c r="L13" s="14"/>
      <c r="M13" s="16">
        <f t="shared" si="4"/>
        <v>0</v>
      </c>
      <c r="N13" s="14"/>
      <c r="O13" s="16">
        <f t="shared" ref="O13:O28" si="7">N13*E13</f>
        <v>0</v>
      </c>
      <c r="P13" s="144">
        <f t="shared" si="5"/>
        <v>810.7</v>
      </c>
      <c r="Q13" s="18">
        <f t="shared" si="6"/>
        <v>24321</v>
      </c>
      <c r="R13" s="19"/>
      <c r="S13" s="20"/>
    </row>
    <row r="14" spans="1:19" ht="14.4" x14ac:dyDescent="0.3">
      <c r="A14" s="11" t="s">
        <v>74</v>
      </c>
      <c r="B14" s="22" t="s">
        <v>72</v>
      </c>
      <c r="C14" s="142">
        <v>30</v>
      </c>
      <c r="D14" s="14">
        <f>1300/1.21</f>
        <v>1074.3801652892562</v>
      </c>
      <c r="E14" s="16">
        <f t="shared" si="0"/>
        <v>32231.404958677685</v>
      </c>
      <c r="F14" s="14"/>
      <c r="G14" s="15">
        <f t="shared" si="1"/>
        <v>0</v>
      </c>
      <c r="H14" s="21">
        <v>762.88</v>
      </c>
      <c r="I14" s="16">
        <f t="shared" si="2"/>
        <v>22886.400000000001</v>
      </c>
      <c r="J14" s="145">
        <f>605.19</f>
        <v>605.19000000000005</v>
      </c>
      <c r="K14" s="16">
        <f t="shared" si="3"/>
        <v>18155.7</v>
      </c>
      <c r="L14" s="21"/>
      <c r="M14" s="16">
        <f t="shared" si="4"/>
        <v>0</v>
      </c>
      <c r="N14" s="21"/>
      <c r="O14" s="16">
        <f t="shared" si="7"/>
        <v>0</v>
      </c>
      <c r="P14" s="144">
        <f t="shared" si="5"/>
        <v>605.19000000000005</v>
      </c>
      <c r="Q14" s="18">
        <f t="shared" si="6"/>
        <v>18155.7</v>
      </c>
      <c r="R14" s="19"/>
      <c r="S14" s="20"/>
    </row>
    <row r="15" spans="1:19" ht="14.4" hidden="1" x14ac:dyDescent="0.3">
      <c r="A15" s="11"/>
      <c r="B15" s="22"/>
      <c r="C15" s="142"/>
      <c r="D15" s="14"/>
      <c r="E15" s="16">
        <f t="shared" si="0"/>
        <v>0</v>
      </c>
      <c r="F15" s="21"/>
      <c r="G15" s="15">
        <f t="shared" si="1"/>
        <v>0</v>
      </c>
      <c r="H15" s="21"/>
      <c r="I15" s="16">
        <f t="shared" si="2"/>
        <v>0</v>
      </c>
      <c r="J15" s="145"/>
      <c r="K15" s="16">
        <f t="shared" si="3"/>
        <v>0</v>
      </c>
      <c r="L15" s="21"/>
      <c r="M15" s="16">
        <f t="shared" si="4"/>
        <v>0</v>
      </c>
      <c r="N15" s="21"/>
      <c r="O15" s="16">
        <f t="shared" si="7"/>
        <v>0</v>
      </c>
      <c r="P15" s="144">
        <f t="shared" si="5"/>
        <v>0</v>
      </c>
      <c r="Q15" s="18">
        <f t="shared" si="6"/>
        <v>0</v>
      </c>
      <c r="R15" s="19"/>
      <c r="S15" s="20"/>
    </row>
    <row r="16" spans="1:19" ht="14.4" hidden="1" x14ac:dyDescent="0.3">
      <c r="A16" s="11"/>
      <c r="B16" s="22"/>
      <c r="C16" s="142"/>
      <c r="D16" s="14"/>
      <c r="E16" s="16">
        <f t="shared" si="0"/>
        <v>0</v>
      </c>
      <c r="F16" s="21"/>
      <c r="G16" s="15">
        <f t="shared" si="1"/>
        <v>0</v>
      </c>
      <c r="H16" s="21"/>
      <c r="I16" s="16">
        <f t="shared" si="2"/>
        <v>0</v>
      </c>
      <c r="J16" s="145"/>
      <c r="K16" s="16">
        <f t="shared" si="3"/>
        <v>0</v>
      </c>
      <c r="L16" s="21"/>
      <c r="M16" s="16">
        <f t="shared" si="4"/>
        <v>0</v>
      </c>
      <c r="N16" s="21"/>
      <c r="O16" s="16">
        <f t="shared" si="7"/>
        <v>0</v>
      </c>
      <c r="P16" s="144">
        <f t="shared" si="5"/>
        <v>0</v>
      </c>
      <c r="Q16" s="18">
        <f t="shared" si="6"/>
        <v>0</v>
      </c>
      <c r="R16" s="19"/>
      <c r="S16" s="20"/>
    </row>
    <row r="17" spans="1:19" ht="14.4" hidden="1" x14ac:dyDescent="0.3">
      <c r="A17" s="11"/>
      <c r="B17" s="12"/>
      <c r="C17" s="142"/>
      <c r="D17" s="14"/>
      <c r="E17" s="16">
        <f t="shared" si="0"/>
        <v>0</v>
      </c>
      <c r="F17" s="21"/>
      <c r="G17" s="15">
        <f t="shared" si="1"/>
        <v>0</v>
      </c>
      <c r="H17" s="21"/>
      <c r="I17" s="16">
        <f t="shared" si="2"/>
        <v>0</v>
      </c>
      <c r="J17" s="145"/>
      <c r="K17" s="16">
        <f t="shared" si="3"/>
        <v>0</v>
      </c>
      <c r="L17" s="21"/>
      <c r="M17" s="16">
        <f t="shared" si="4"/>
        <v>0</v>
      </c>
      <c r="N17" s="21"/>
      <c r="O17" s="16">
        <f t="shared" si="7"/>
        <v>0</v>
      </c>
      <c r="P17" s="144">
        <f t="shared" si="5"/>
        <v>0</v>
      </c>
      <c r="Q17" s="18">
        <f t="shared" si="6"/>
        <v>0</v>
      </c>
      <c r="R17" s="19"/>
      <c r="S17" s="20"/>
    </row>
    <row r="18" spans="1:19" ht="14.4" hidden="1" x14ac:dyDescent="0.3">
      <c r="A18" s="11"/>
      <c r="B18" s="22"/>
      <c r="C18" s="142"/>
      <c r="D18" s="14"/>
      <c r="E18" s="16">
        <f t="shared" si="0"/>
        <v>0</v>
      </c>
      <c r="F18" s="21"/>
      <c r="G18" s="15">
        <f t="shared" si="1"/>
        <v>0</v>
      </c>
      <c r="H18" s="21"/>
      <c r="I18" s="16">
        <f t="shared" si="2"/>
        <v>0</v>
      </c>
      <c r="J18" s="145"/>
      <c r="K18" s="16">
        <f t="shared" si="3"/>
        <v>0</v>
      </c>
      <c r="L18" s="21"/>
      <c r="M18" s="16">
        <f t="shared" si="4"/>
        <v>0</v>
      </c>
      <c r="N18" s="21"/>
      <c r="O18" s="16">
        <f t="shared" si="7"/>
        <v>0</v>
      </c>
      <c r="P18" s="144">
        <f t="shared" si="5"/>
        <v>0</v>
      </c>
      <c r="Q18" s="18">
        <f t="shared" si="6"/>
        <v>0</v>
      </c>
      <c r="R18" s="19"/>
      <c r="S18" s="20"/>
    </row>
    <row r="19" spans="1:19" ht="14.4" hidden="1" x14ac:dyDescent="0.3">
      <c r="A19" s="11"/>
      <c r="B19" s="22"/>
      <c r="C19" s="142"/>
      <c r="D19" s="14"/>
      <c r="E19" s="16">
        <f t="shared" si="0"/>
        <v>0</v>
      </c>
      <c r="F19" s="21"/>
      <c r="G19" s="15">
        <f t="shared" si="1"/>
        <v>0</v>
      </c>
      <c r="H19" s="21"/>
      <c r="I19" s="16">
        <f t="shared" si="2"/>
        <v>0</v>
      </c>
      <c r="J19" s="145"/>
      <c r="K19" s="16">
        <f t="shared" si="3"/>
        <v>0</v>
      </c>
      <c r="L19" s="21"/>
      <c r="M19" s="16">
        <f t="shared" si="4"/>
        <v>0</v>
      </c>
      <c r="N19" s="21"/>
      <c r="O19" s="16">
        <f t="shared" si="7"/>
        <v>0</v>
      </c>
      <c r="P19" s="144">
        <f t="shared" si="5"/>
        <v>0</v>
      </c>
      <c r="Q19" s="18">
        <f t="shared" si="6"/>
        <v>0</v>
      </c>
      <c r="R19" s="19"/>
      <c r="S19" s="20"/>
    </row>
    <row r="20" spans="1:19" ht="14.4" hidden="1" x14ac:dyDescent="0.3">
      <c r="A20" s="11"/>
      <c r="B20" s="22"/>
      <c r="C20" s="142"/>
      <c r="D20" s="14"/>
      <c r="E20" s="16">
        <f t="shared" si="0"/>
        <v>0</v>
      </c>
      <c r="F20" s="21"/>
      <c r="G20" s="15">
        <f t="shared" si="1"/>
        <v>0</v>
      </c>
      <c r="H20" s="21"/>
      <c r="I20" s="16">
        <f t="shared" si="2"/>
        <v>0</v>
      </c>
      <c r="J20" s="145"/>
      <c r="K20" s="16">
        <f t="shared" si="3"/>
        <v>0</v>
      </c>
      <c r="L20" s="21"/>
      <c r="M20" s="16">
        <f t="shared" si="4"/>
        <v>0</v>
      </c>
      <c r="N20" s="21"/>
      <c r="O20" s="16">
        <f t="shared" si="7"/>
        <v>0</v>
      </c>
      <c r="P20" s="144">
        <f t="shared" si="5"/>
        <v>0</v>
      </c>
      <c r="Q20" s="18">
        <f t="shared" si="6"/>
        <v>0</v>
      </c>
      <c r="R20" s="19"/>
      <c r="S20" s="20"/>
    </row>
    <row r="21" spans="1:19" ht="15.75" hidden="1" customHeight="1" x14ac:dyDescent="0.3">
      <c r="A21" s="11"/>
      <c r="B21" s="22"/>
      <c r="C21" s="142"/>
      <c r="D21" s="14"/>
      <c r="E21" s="16">
        <f t="shared" si="0"/>
        <v>0</v>
      </c>
      <c r="F21" s="21"/>
      <c r="G21" s="15">
        <f t="shared" si="1"/>
        <v>0</v>
      </c>
      <c r="H21" s="21"/>
      <c r="I21" s="16">
        <f t="shared" si="2"/>
        <v>0</v>
      </c>
      <c r="J21" s="145"/>
      <c r="K21" s="16">
        <f t="shared" si="3"/>
        <v>0</v>
      </c>
      <c r="L21" s="21"/>
      <c r="M21" s="16">
        <f t="shared" si="4"/>
        <v>0</v>
      </c>
      <c r="N21" s="21"/>
      <c r="O21" s="16">
        <f t="shared" si="7"/>
        <v>0</v>
      </c>
      <c r="P21" s="144">
        <f t="shared" si="5"/>
        <v>0</v>
      </c>
      <c r="Q21" s="18">
        <f t="shared" si="6"/>
        <v>0</v>
      </c>
      <c r="R21" s="19"/>
      <c r="S21" s="20"/>
    </row>
    <row r="22" spans="1:19" ht="15.75" hidden="1" customHeight="1" x14ac:dyDescent="0.3">
      <c r="A22" s="11"/>
      <c r="B22" s="22"/>
      <c r="C22" s="142"/>
      <c r="D22" s="14"/>
      <c r="E22" s="16">
        <f t="shared" si="0"/>
        <v>0</v>
      </c>
      <c r="F22" s="21"/>
      <c r="G22" s="15">
        <f t="shared" si="1"/>
        <v>0</v>
      </c>
      <c r="H22" s="21"/>
      <c r="I22" s="16">
        <f t="shared" si="2"/>
        <v>0</v>
      </c>
      <c r="J22" s="145"/>
      <c r="K22" s="16">
        <f t="shared" si="3"/>
        <v>0</v>
      </c>
      <c r="L22" s="21"/>
      <c r="M22" s="16">
        <f t="shared" si="4"/>
        <v>0</v>
      </c>
      <c r="N22" s="21"/>
      <c r="O22" s="16">
        <f t="shared" si="7"/>
        <v>0</v>
      </c>
      <c r="P22" s="144">
        <f t="shared" si="5"/>
        <v>0</v>
      </c>
      <c r="Q22" s="18">
        <f t="shared" si="6"/>
        <v>0</v>
      </c>
      <c r="R22" s="19"/>
      <c r="S22" s="20"/>
    </row>
    <row r="23" spans="1:19" ht="15.75" hidden="1" customHeight="1" x14ac:dyDescent="0.3">
      <c r="A23" s="11"/>
      <c r="B23" s="22"/>
      <c r="C23" s="142"/>
      <c r="D23" s="14"/>
      <c r="E23" s="16">
        <f t="shared" si="0"/>
        <v>0</v>
      </c>
      <c r="F23" s="21"/>
      <c r="G23" s="15">
        <f t="shared" si="1"/>
        <v>0</v>
      </c>
      <c r="H23" s="21"/>
      <c r="I23" s="16">
        <f t="shared" si="2"/>
        <v>0</v>
      </c>
      <c r="J23" s="145"/>
      <c r="K23" s="16">
        <f t="shared" si="3"/>
        <v>0</v>
      </c>
      <c r="L23" s="21"/>
      <c r="M23" s="16">
        <f t="shared" si="4"/>
        <v>0</v>
      </c>
      <c r="N23" s="21"/>
      <c r="O23" s="16">
        <f t="shared" si="7"/>
        <v>0</v>
      </c>
      <c r="P23" s="144">
        <f t="shared" si="5"/>
        <v>0</v>
      </c>
      <c r="Q23" s="18">
        <f t="shared" si="6"/>
        <v>0</v>
      </c>
      <c r="R23" s="19"/>
      <c r="S23" s="20"/>
    </row>
    <row r="24" spans="1:19" ht="15.75" hidden="1" customHeight="1" x14ac:dyDescent="0.3">
      <c r="A24" s="11"/>
      <c r="B24" s="22"/>
      <c r="C24" s="142"/>
      <c r="D24" s="14"/>
      <c r="E24" s="16">
        <f t="shared" si="0"/>
        <v>0</v>
      </c>
      <c r="F24" s="21"/>
      <c r="G24" s="15">
        <f t="shared" si="1"/>
        <v>0</v>
      </c>
      <c r="H24" s="21"/>
      <c r="I24" s="16">
        <f t="shared" si="2"/>
        <v>0</v>
      </c>
      <c r="J24" s="145"/>
      <c r="K24" s="16">
        <f t="shared" si="3"/>
        <v>0</v>
      </c>
      <c r="L24" s="21"/>
      <c r="M24" s="16">
        <f t="shared" si="4"/>
        <v>0</v>
      </c>
      <c r="N24" s="21"/>
      <c r="O24" s="16">
        <f t="shared" si="7"/>
        <v>0</v>
      </c>
      <c r="P24" s="144">
        <f t="shared" si="5"/>
        <v>0</v>
      </c>
      <c r="Q24" s="18">
        <f t="shared" si="6"/>
        <v>0</v>
      </c>
      <c r="R24" s="19"/>
      <c r="S24" s="20"/>
    </row>
    <row r="25" spans="1:19" ht="15.75" hidden="1" customHeight="1" x14ac:dyDescent="0.3">
      <c r="A25" s="11"/>
      <c r="B25" s="22"/>
      <c r="C25" s="142"/>
      <c r="D25" s="14"/>
      <c r="E25" s="16">
        <f t="shared" si="0"/>
        <v>0</v>
      </c>
      <c r="F25" s="21"/>
      <c r="G25" s="15">
        <f t="shared" si="1"/>
        <v>0</v>
      </c>
      <c r="H25" s="21"/>
      <c r="I25" s="16">
        <f t="shared" si="2"/>
        <v>0</v>
      </c>
      <c r="J25" s="145"/>
      <c r="K25" s="16">
        <f t="shared" si="3"/>
        <v>0</v>
      </c>
      <c r="L25" s="21"/>
      <c r="M25" s="16">
        <f t="shared" si="4"/>
        <v>0</v>
      </c>
      <c r="N25" s="21"/>
      <c r="O25" s="16">
        <f t="shared" si="7"/>
        <v>0</v>
      </c>
      <c r="P25" s="144">
        <f t="shared" si="5"/>
        <v>0</v>
      </c>
      <c r="Q25" s="18">
        <f t="shared" si="6"/>
        <v>0</v>
      </c>
      <c r="R25" s="19"/>
      <c r="S25" s="20"/>
    </row>
    <row r="26" spans="1:19" ht="15.75" hidden="1" customHeight="1" x14ac:dyDescent="0.3">
      <c r="A26" s="11"/>
      <c r="B26" s="22"/>
      <c r="C26" s="142"/>
      <c r="D26" s="14"/>
      <c r="E26" s="16">
        <f t="shared" si="0"/>
        <v>0</v>
      </c>
      <c r="F26" s="21"/>
      <c r="G26" s="15">
        <f t="shared" si="1"/>
        <v>0</v>
      </c>
      <c r="H26" s="21"/>
      <c r="I26" s="16">
        <f t="shared" si="2"/>
        <v>0</v>
      </c>
      <c r="J26" s="145"/>
      <c r="K26" s="16">
        <f t="shared" si="3"/>
        <v>0</v>
      </c>
      <c r="L26" s="21"/>
      <c r="M26" s="16">
        <f t="shared" si="4"/>
        <v>0</v>
      </c>
      <c r="N26" s="21"/>
      <c r="O26" s="16">
        <f t="shared" si="7"/>
        <v>0</v>
      </c>
      <c r="P26" s="144">
        <f t="shared" si="5"/>
        <v>0</v>
      </c>
      <c r="Q26" s="18">
        <f t="shared" si="6"/>
        <v>0</v>
      </c>
      <c r="R26" s="19"/>
      <c r="S26" s="20"/>
    </row>
    <row r="27" spans="1:19" ht="15.75" hidden="1" customHeight="1" x14ac:dyDescent="0.3">
      <c r="A27" s="11"/>
      <c r="B27" s="22"/>
      <c r="C27" s="142"/>
      <c r="D27" s="14"/>
      <c r="E27" s="16">
        <f t="shared" si="0"/>
        <v>0</v>
      </c>
      <c r="F27" s="21"/>
      <c r="G27" s="15">
        <f t="shared" si="1"/>
        <v>0</v>
      </c>
      <c r="H27" s="21"/>
      <c r="I27" s="16">
        <f t="shared" si="2"/>
        <v>0</v>
      </c>
      <c r="J27" s="145"/>
      <c r="K27" s="16">
        <f t="shared" si="3"/>
        <v>0</v>
      </c>
      <c r="L27" s="21"/>
      <c r="M27" s="16">
        <f t="shared" si="4"/>
        <v>0</v>
      </c>
      <c r="N27" s="21"/>
      <c r="O27" s="16">
        <f t="shared" si="7"/>
        <v>0</v>
      </c>
      <c r="P27" s="144">
        <f t="shared" si="5"/>
        <v>0</v>
      </c>
      <c r="Q27" s="18">
        <f t="shared" si="6"/>
        <v>0</v>
      </c>
      <c r="R27" s="19"/>
      <c r="S27" s="20"/>
    </row>
    <row r="28" spans="1:19" ht="15.75" customHeight="1" x14ac:dyDescent="0.3">
      <c r="A28" s="23"/>
      <c r="B28" s="24"/>
      <c r="C28" s="146"/>
      <c r="D28" s="26"/>
      <c r="E28" s="29">
        <f t="shared" si="0"/>
        <v>0</v>
      </c>
      <c r="F28" s="28"/>
      <c r="G28" s="27">
        <f t="shared" si="1"/>
        <v>0</v>
      </c>
      <c r="H28" s="28"/>
      <c r="I28" s="29">
        <f t="shared" si="2"/>
        <v>0</v>
      </c>
      <c r="J28" s="147"/>
      <c r="K28" s="29">
        <f t="shared" si="3"/>
        <v>0</v>
      </c>
      <c r="L28" s="28"/>
      <c r="M28" s="29">
        <f t="shared" si="4"/>
        <v>0</v>
      </c>
      <c r="N28" s="28"/>
      <c r="O28" s="29">
        <f t="shared" si="7"/>
        <v>0</v>
      </c>
      <c r="P28" s="148">
        <f t="shared" si="5"/>
        <v>0</v>
      </c>
      <c r="Q28" s="31">
        <f t="shared" si="6"/>
        <v>0</v>
      </c>
      <c r="R28" s="19"/>
      <c r="S28" s="20"/>
    </row>
    <row r="29" spans="1:19" ht="15.75" customHeight="1" x14ac:dyDescent="0.3">
      <c r="A29" s="272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4"/>
    </row>
    <row r="30" spans="1:19" ht="15.75" customHeight="1" x14ac:dyDescent="0.3">
      <c r="A30" s="32" t="s">
        <v>17</v>
      </c>
      <c r="B30" s="274"/>
      <c r="C30" s="275"/>
      <c r="D30" s="33"/>
      <c r="E30" s="34">
        <f>+SUM(E12:E27)</f>
        <v>113223.14049586776</v>
      </c>
      <c r="F30" s="35"/>
      <c r="G30" s="34">
        <f>+SUM(G12:G27)</f>
        <v>0</v>
      </c>
      <c r="H30" s="35"/>
      <c r="I30" s="34">
        <f>SUM(I12:I27)</f>
        <v>80133</v>
      </c>
      <c r="J30" s="35"/>
      <c r="K30" s="34">
        <f>+SUM(K12:K28)</f>
        <v>57222.899999999994</v>
      </c>
      <c r="L30" s="35"/>
      <c r="M30" s="34">
        <f>+SUM(M12:M26)</f>
        <v>0</v>
      </c>
      <c r="N30" s="35"/>
      <c r="O30" s="34">
        <f>+SUM(O12:O26)</f>
        <v>0</v>
      </c>
      <c r="P30" s="36"/>
      <c r="Q30" s="34">
        <f>+SUM(Q12:Q27)</f>
        <v>57222.899999999994</v>
      </c>
    </row>
    <row r="31" spans="1:19" ht="15.75" customHeight="1" x14ac:dyDescent="0.3">
      <c r="A31" s="37"/>
      <c r="B31" s="38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</row>
    <row r="32" spans="1:19" ht="15.75" customHeight="1" x14ac:dyDescent="0.3">
      <c r="A32" s="40" t="s">
        <v>18</v>
      </c>
      <c r="B32" s="276"/>
      <c r="C32" s="271"/>
      <c r="D32" s="41">
        <v>0</v>
      </c>
      <c r="E32" s="42">
        <f>+E30*D32</f>
        <v>0</v>
      </c>
      <c r="F32" s="41">
        <v>0</v>
      </c>
      <c r="G32" s="42">
        <f>+G30*F32</f>
        <v>0</v>
      </c>
      <c r="H32" s="41">
        <v>0</v>
      </c>
      <c r="I32" s="43">
        <f>+I30*H32</f>
        <v>0</v>
      </c>
      <c r="J32" s="41">
        <v>0</v>
      </c>
      <c r="K32" s="43">
        <f>+K30*J32</f>
        <v>0</v>
      </c>
      <c r="L32" s="41">
        <v>0</v>
      </c>
      <c r="M32" s="43">
        <f>+M30*L32</f>
        <v>0</v>
      </c>
      <c r="N32" s="41">
        <v>0</v>
      </c>
      <c r="O32" s="43">
        <f>+O30*N32</f>
        <v>0</v>
      </c>
      <c r="P32" s="44"/>
      <c r="Q32" s="43">
        <f>+Q30*P32</f>
        <v>0</v>
      </c>
    </row>
    <row r="33" spans="1:17" ht="15.75" customHeight="1" x14ac:dyDescent="0.3">
      <c r="A33" s="45" t="s">
        <v>19</v>
      </c>
      <c r="B33" s="277">
        <v>1</v>
      </c>
      <c r="C33" s="278"/>
      <c r="D33" s="46"/>
      <c r="E33" s="47"/>
      <c r="F33" s="46"/>
      <c r="G33" s="47"/>
      <c r="H33" s="46"/>
      <c r="I33" s="48"/>
      <c r="J33" s="46"/>
      <c r="K33" s="48"/>
      <c r="L33" s="46"/>
      <c r="M33" s="48"/>
      <c r="N33" s="46"/>
      <c r="O33" s="48"/>
      <c r="P33" s="49"/>
      <c r="Q33" s="48"/>
    </row>
    <row r="34" spans="1:17" ht="15.75" customHeight="1" x14ac:dyDescent="0.3">
      <c r="A34" s="45" t="s">
        <v>20</v>
      </c>
      <c r="B34" s="277"/>
      <c r="C34" s="278"/>
      <c r="D34" s="46"/>
      <c r="E34" s="47">
        <f>+E30-E32</f>
        <v>113223.14049586776</v>
      </c>
      <c r="F34" s="46"/>
      <c r="G34" s="47">
        <f>+G30-G32</f>
        <v>0</v>
      </c>
      <c r="H34" s="46"/>
      <c r="I34" s="48">
        <f>+I30-I32</f>
        <v>80133</v>
      </c>
      <c r="J34" s="46"/>
      <c r="K34" s="48">
        <f>+K30-K32</f>
        <v>57222.899999999994</v>
      </c>
      <c r="L34" s="46"/>
      <c r="M34" s="48">
        <f>+M30-M32</f>
        <v>0</v>
      </c>
      <c r="N34" s="46"/>
      <c r="O34" s="48">
        <f>+O30-O32</f>
        <v>0</v>
      </c>
      <c r="P34" s="49"/>
      <c r="Q34" s="48">
        <f>+Q30-Q32</f>
        <v>57222.899999999994</v>
      </c>
    </row>
    <row r="35" spans="1:17" ht="15.75" customHeight="1" x14ac:dyDescent="0.3">
      <c r="A35" s="45" t="s">
        <v>21</v>
      </c>
      <c r="B35" s="279">
        <v>0.21</v>
      </c>
      <c r="C35" s="278"/>
      <c r="D35" s="46"/>
      <c r="E35" s="47">
        <f>+E34*$B$35</f>
        <v>23776.85950413223</v>
      </c>
      <c r="F35" s="46"/>
      <c r="G35" s="47">
        <f>+G34*$B$35</f>
        <v>0</v>
      </c>
      <c r="H35" s="46"/>
      <c r="I35" s="48">
        <f>+I34*$B$35</f>
        <v>16827.93</v>
      </c>
      <c r="J35" s="46"/>
      <c r="K35" s="48">
        <f>+K34*$B$35</f>
        <v>12016.808999999997</v>
      </c>
      <c r="L35" s="46"/>
      <c r="M35" s="48">
        <f>+M34*$B$35</f>
        <v>0</v>
      </c>
      <c r="N35" s="46"/>
      <c r="O35" s="48">
        <f>+O34*$B$35</f>
        <v>0</v>
      </c>
      <c r="P35" s="49"/>
      <c r="Q35" s="48">
        <f>Q34*B35</f>
        <v>12016.808999999997</v>
      </c>
    </row>
    <row r="36" spans="1:17" ht="15.75" customHeight="1" x14ac:dyDescent="0.3">
      <c r="A36" s="50" t="s">
        <v>22</v>
      </c>
      <c r="B36" s="51"/>
      <c r="C36" s="52"/>
      <c r="D36" s="53"/>
      <c r="E36" s="54"/>
      <c r="F36" s="53"/>
      <c r="G36" s="54"/>
      <c r="H36" s="53"/>
      <c r="I36" s="55"/>
      <c r="J36" s="53"/>
      <c r="K36" s="55">
        <f>772.51</f>
        <v>772.51</v>
      </c>
      <c r="L36" s="53"/>
      <c r="M36" s="55"/>
      <c r="N36" s="53"/>
      <c r="O36" s="55"/>
      <c r="P36" s="56"/>
      <c r="Q36" s="55"/>
    </row>
    <row r="37" spans="1:17" ht="15.75" customHeight="1" x14ac:dyDescent="0.3">
      <c r="A37" s="57"/>
      <c r="B37" s="58"/>
      <c r="C37" s="59"/>
      <c r="D37" s="60"/>
      <c r="E37" s="61"/>
      <c r="F37" s="60"/>
      <c r="G37" s="61"/>
      <c r="H37" s="60"/>
      <c r="I37" s="62"/>
      <c r="J37" s="63"/>
      <c r="K37" s="64"/>
      <c r="L37" s="63"/>
      <c r="M37" s="64"/>
      <c r="N37" s="63"/>
      <c r="O37" s="64"/>
      <c r="P37" s="65"/>
      <c r="Q37" s="62"/>
    </row>
    <row r="38" spans="1:17" ht="15.75" customHeight="1" x14ac:dyDescent="0.3">
      <c r="A38" s="37"/>
      <c r="B38" s="38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</row>
    <row r="39" spans="1:17" ht="15.75" customHeight="1" x14ac:dyDescent="0.3">
      <c r="A39" s="66" t="s">
        <v>23</v>
      </c>
      <c r="B39" s="67"/>
      <c r="C39" s="68"/>
      <c r="D39" s="69"/>
      <c r="E39" s="70">
        <f>+E34+E35+E37</f>
        <v>137000</v>
      </c>
      <c r="F39" s="71"/>
      <c r="G39" s="70">
        <v>90000</v>
      </c>
      <c r="H39" s="71"/>
      <c r="I39" s="70">
        <f>+I34+I35+I36</f>
        <v>96960.93</v>
      </c>
      <c r="J39" s="71"/>
      <c r="K39" s="70">
        <f>+K34+K35+K36</f>
        <v>70012.218999999983</v>
      </c>
      <c r="L39" s="71"/>
      <c r="M39" s="70">
        <f>+M34+M35+M36</f>
        <v>0</v>
      </c>
      <c r="N39" s="71"/>
      <c r="O39" s="70">
        <f>+O34+O35+O36</f>
        <v>0</v>
      </c>
      <c r="P39" s="69"/>
      <c r="Q39" s="72">
        <f>SUM(Q34:Q35)</f>
        <v>69239.708999999988</v>
      </c>
    </row>
    <row r="40" spans="1:17" ht="37.5" customHeight="1" x14ac:dyDescent="0.3">
      <c r="A40" s="73" t="s">
        <v>24</v>
      </c>
      <c r="B40" s="280"/>
      <c r="C40" s="269"/>
      <c r="D40" s="296"/>
      <c r="E40" s="267"/>
      <c r="F40" s="289"/>
      <c r="G40" s="269"/>
      <c r="H40" s="289"/>
      <c r="I40" s="267"/>
      <c r="J40" s="289"/>
      <c r="K40" s="267"/>
      <c r="L40" s="289"/>
      <c r="M40" s="267"/>
      <c r="N40" s="289"/>
      <c r="O40" s="267"/>
      <c r="P40" s="268"/>
      <c r="Q40" s="269"/>
    </row>
    <row r="41" spans="1:17" ht="15.75" customHeight="1" x14ac:dyDescent="0.3">
      <c r="H41" s="74"/>
    </row>
    <row r="42" spans="1:17" ht="15.75" customHeight="1" x14ac:dyDescent="0.3"/>
    <row r="43" spans="1:17" ht="15.75" customHeight="1" x14ac:dyDescent="0.3"/>
    <row r="44" spans="1:17" ht="15.75" customHeight="1" x14ac:dyDescent="0.3"/>
    <row r="45" spans="1:17" ht="15.75" customHeight="1" x14ac:dyDescent="0.3"/>
    <row r="46" spans="1:17" ht="15.75" customHeight="1" x14ac:dyDescent="0.3"/>
    <row r="47" spans="1:17" ht="15.75" customHeight="1" x14ac:dyDescent="0.3"/>
    <row r="48" spans="1:1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4">
    <mergeCell ref="N10:O10"/>
    <mergeCell ref="A8:Q8"/>
    <mergeCell ref="A10:A11"/>
    <mergeCell ref="B10:B11"/>
    <mergeCell ref="C10:C11"/>
    <mergeCell ref="D10:E10"/>
    <mergeCell ref="F10:G10"/>
    <mergeCell ref="P10:Q10"/>
    <mergeCell ref="L40:M40"/>
    <mergeCell ref="N40:O40"/>
    <mergeCell ref="P40:Q40"/>
    <mergeCell ref="H10:I10"/>
    <mergeCell ref="A29:P29"/>
    <mergeCell ref="B30:C30"/>
    <mergeCell ref="B32:C32"/>
    <mergeCell ref="B33:C33"/>
    <mergeCell ref="B34:C34"/>
    <mergeCell ref="B35:C35"/>
    <mergeCell ref="B40:C40"/>
    <mergeCell ref="D40:E40"/>
    <mergeCell ref="F40:G40"/>
    <mergeCell ref="H40:I40"/>
    <mergeCell ref="J40:K40"/>
    <mergeCell ref="J10:K10"/>
  </mergeCells>
  <pageMargins left="0.25" right="0.25" top="0.75" bottom="0.75" header="0" footer="0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44140625" defaultRowHeight="15" customHeight="1" x14ac:dyDescent="0.3"/>
  <cols>
    <col min="1" max="1" width="27.88671875" customWidth="1"/>
    <col min="2" max="3" width="10.6640625" customWidth="1"/>
    <col min="4" max="4" width="13.88671875" customWidth="1"/>
    <col min="5" max="5" width="15.44140625" customWidth="1"/>
    <col min="6" max="6" width="12.44140625" customWidth="1"/>
    <col min="7" max="7" width="15.44140625" customWidth="1"/>
    <col min="8" max="8" width="12.44140625" customWidth="1"/>
    <col min="9" max="9" width="15.44140625" customWidth="1"/>
    <col min="10" max="10" width="12.44140625" customWidth="1"/>
    <col min="11" max="11" width="15.44140625" customWidth="1"/>
    <col min="12" max="12" width="13.44140625" customWidth="1"/>
    <col min="13" max="13" width="16.88671875" customWidth="1"/>
    <col min="14" max="14" width="11.44140625" customWidth="1"/>
    <col min="15" max="15" width="10.6640625" customWidth="1"/>
    <col min="16" max="16" width="11.44140625" customWidth="1"/>
    <col min="17" max="17" width="15.109375" customWidth="1"/>
    <col min="18" max="18" width="16.5546875" customWidth="1"/>
    <col min="19" max="19" width="16.109375" customWidth="1"/>
    <col min="20" max="26" width="10.6640625" customWidth="1"/>
  </cols>
  <sheetData>
    <row r="1" spans="1:19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1:19" x14ac:dyDescent="0.3">
      <c r="A2" s="5" t="s">
        <v>75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1:19" x14ac:dyDescent="0.3">
      <c r="A3" s="5" t="s">
        <v>1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</row>
    <row r="4" spans="1:19" x14ac:dyDescent="0.3">
      <c r="A4" s="5" t="s">
        <v>2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4"/>
    </row>
    <row r="5" spans="1:19" x14ac:dyDescent="0.3">
      <c r="A5" s="5" t="s">
        <v>3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</row>
    <row r="6" spans="1:19" x14ac:dyDescent="0.3">
      <c r="A6" s="5" t="s">
        <v>76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</row>
    <row r="7" spans="1:19" x14ac:dyDescent="0.3">
      <c r="A7" s="1"/>
      <c r="B7" s="1"/>
      <c r="C7" s="2"/>
      <c r="D7" s="14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</row>
    <row r="8" spans="1:19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5"/>
    </row>
    <row r="9" spans="1:19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/>
    </row>
    <row r="10" spans="1:19" ht="14.4" x14ac:dyDescent="0.3">
      <c r="A10" s="286" t="s">
        <v>6</v>
      </c>
      <c r="B10" s="286" t="s">
        <v>7</v>
      </c>
      <c r="C10" s="293" t="s">
        <v>8</v>
      </c>
      <c r="D10" s="270" t="s">
        <v>77</v>
      </c>
      <c r="E10" s="271"/>
      <c r="F10" s="270" t="s">
        <v>78</v>
      </c>
      <c r="G10" s="282"/>
      <c r="H10" s="270" t="s">
        <v>79</v>
      </c>
      <c r="I10" s="271"/>
      <c r="J10" s="270" t="s">
        <v>80</v>
      </c>
      <c r="K10" s="282"/>
      <c r="L10" s="297" t="s">
        <v>81</v>
      </c>
      <c r="M10" s="282"/>
      <c r="N10" s="305" t="s">
        <v>82</v>
      </c>
      <c r="O10" s="269"/>
      <c r="P10" s="305" t="s">
        <v>83</v>
      </c>
      <c r="Q10" s="306"/>
      <c r="R10" s="270" t="s">
        <v>12</v>
      </c>
      <c r="S10" s="271"/>
    </row>
    <row r="11" spans="1:19" ht="14.4" x14ac:dyDescent="0.3">
      <c r="A11" s="287"/>
      <c r="B11" s="287"/>
      <c r="C11" s="298"/>
      <c r="D11" s="8" t="s">
        <v>13</v>
      </c>
      <c r="E11" s="10" t="s">
        <v>14</v>
      </c>
      <c r="F11" s="8" t="s">
        <v>13</v>
      </c>
      <c r="G11" s="9" t="s">
        <v>14</v>
      </c>
      <c r="H11" s="8" t="s">
        <v>13</v>
      </c>
      <c r="I11" s="10" t="s">
        <v>14</v>
      </c>
      <c r="J11" s="141" t="s">
        <v>13</v>
      </c>
      <c r="K11" s="10" t="s">
        <v>14</v>
      </c>
      <c r="L11" s="8" t="s">
        <v>13</v>
      </c>
      <c r="M11" s="10" t="s">
        <v>14</v>
      </c>
      <c r="N11" s="150" t="s">
        <v>13</v>
      </c>
      <c r="O11" s="151" t="s">
        <v>14</v>
      </c>
      <c r="P11" s="152" t="s">
        <v>13</v>
      </c>
      <c r="Q11" s="153" t="s">
        <v>14</v>
      </c>
      <c r="R11" s="75" t="s">
        <v>13</v>
      </c>
      <c r="S11" s="77" t="s">
        <v>14</v>
      </c>
    </row>
    <row r="12" spans="1:19" ht="27.6" x14ac:dyDescent="0.3">
      <c r="A12" s="11" t="s">
        <v>84</v>
      </c>
      <c r="B12" s="12" t="s">
        <v>7</v>
      </c>
      <c r="C12" s="142">
        <v>30</v>
      </c>
      <c r="D12" s="14">
        <f>(394006.47/1.21)-20709.59</f>
        <v>304915.5918181818</v>
      </c>
      <c r="E12" s="16">
        <f t="shared" ref="E12:E28" si="0">D12*C12</f>
        <v>9147467.7545454539</v>
      </c>
      <c r="F12" s="14"/>
      <c r="G12" s="15">
        <f t="shared" ref="G12:G28" si="1">F12*C12</f>
        <v>0</v>
      </c>
      <c r="H12" s="21"/>
      <c r="I12" s="16">
        <f t="shared" ref="I12:I28" si="2">H12*C12</f>
        <v>0</v>
      </c>
      <c r="J12" s="143">
        <f>373269.29/1.21</f>
        <v>308487.01652892563</v>
      </c>
      <c r="K12" s="16">
        <f t="shared" ref="K12:K28" si="3">J12*C12</f>
        <v>9254610.4958677683</v>
      </c>
      <c r="L12" s="14"/>
      <c r="M12" s="16">
        <f t="shared" ref="M12:M28" si="4">L12*C12</f>
        <v>0</v>
      </c>
      <c r="N12" s="14"/>
      <c r="O12" s="15">
        <f>N12*C12</f>
        <v>0</v>
      </c>
      <c r="P12" s="154">
        <v>689518</v>
      </c>
      <c r="Q12" s="155">
        <f t="shared" ref="Q12:Q28" si="5">P12*C12</f>
        <v>20685540</v>
      </c>
      <c r="R12" s="156">
        <f t="shared" ref="R12:R28" si="6">MIN(D12,F12,H12,L12,J12)</f>
        <v>304915.5918181818</v>
      </c>
      <c r="S12" s="86">
        <f t="shared" ref="S12:S28" si="7">R12*C12</f>
        <v>9147467.7545454539</v>
      </c>
    </row>
    <row r="13" spans="1:19" ht="14.4" x14ac:dyDescent="0.3">
      <c r="A13" s="11" t="s">
        <v>85</v>
      </c>
      <c r="B13" s="12" t="s">
        <v>7</v>
      </c>
      <c r="C13" s="142">
        <v>30</v>
      </c>
      <c r="D13" s="14">
        <f>350762.14/1.21</f>
        <v>289886.0661157025</v>
      </c>
      <c r="E13" s="16">
        <f t="shared" si="0"/>
        <v>8696581.9834710751</v>
      </c>
      <c r="F13" s="14"/>
      <c r="G13" s="15">
        <f t="shared" si="1"/>
        <v>0</v>
      </c>
      <c r="H13" s="21">
        <f>16652.89</f>
        <v>16652.89</v>
      </c>
      <c r="I13" s="16">
        <f t="shared" si="2"/>
        <v>499586.69999999995</v>
      </c>
      <c r="J13" s="143"/>
      <c r="K13" s="16">
        <f t="shared" si="3"/>
        <v>0</v>
      </c>
      <c r="L13" s="14"/>
      <c r="M13" s="16">
        <f t="shared" si="4"/>
        <v>0</v>
      </c>
      <c r="N13" s="14"/>
      <c r="O13" s="15">
        <f t="shared" ref="O13:O28" si="8">N13*E13</f>
        <v>0</v>
      </c>
      <c r="P13" s="14">
        <v>38466</v>
      </c>
      <c r="Q13" s="16">
        <f t="shared" si="5"/>
        <v>1153980</v>
      </c>
      <c r="R13" s="144">
        <f t="shared" si="6"/>
        <v>16652.89</v>
      </c>
      <c r="S13" s="18">
        <f t="shared" si="7"/>
        <v>499586.69999999995</v>
      </c>
    </row>
    <row r="14" spans="1:19" ht="14.4" x14ac:dyDescent="0.3">
      <c r="A14" s="11" t="s">
        <v>86</v>
      </c>
      <c r="B14" s="12" t="s">
        <v>7</v>
      </c>
      <c r="C14" s="142">
        <v>30</v>
      </c>
      <c r="D14" s="14"/>
      <c r="E14" s="16">
        <f t="shared" si="0"/>
        <v>0</v>
      </c>
      <c r="F14" s="14"/>
      <c r="G14" s="15">
        <f t="shared" si="1"/>
        <v>0</v>
      </c>
      <c r="H14" s="21">
        <f>5124.07</f>
        <v>5124.07</v>
      </c>
      <c r="I14" s="16">
        <f t="shared" si="2"/>
        <v>153722.09999999998</v>
      </c>
      <c r="J14" s="145"/>
      <c r="K14" s="16">
        <f t="shared" si="3"/>
        <v>0</v>
      </c>
      <c r="L14" s="21"/>
      <c r="M14" s="16">
        <f t="shared" si="4"/>
        <v>0</v>
      </c>
      <c r="N14" s="21"/>
      <c r="O14" s="15">
        <f t="shared" si="8"/>
        <v>0</v>
      </c>
      <c r="P14" s="21">
        <v>11327</v>
      </c>
      <c r="Q14" s="16">
        <f t="shared" si="5"/>
        <v>339810</v>
      </c>
      <c r="R14" s="144">
        <f t="shared" si="6"/>
        <v>5124.07</v>
      </c>
      <c r="S14" s="18">
        <f t="shared" si="7"/>
        <v>153722.09999999998</v>
      </c>
    </row>
    <row r="15" spans="1:19" ht="27.6" x14ac:dyDescent="0.3">
      <c r="A15" s="11" t="s">
        <v>87</v>
      </c>
      <c r="B15" s="12" t="s">
        <v>7</v>
      </c>
      <c r="C15" s="142">
        <v>30</v>
      </c>
      <c r="D15" s="14"/>
      <c r="E15" s="16">
        <f t="shared" si="0"/>
        <v>0</v>
      </c>
      <c r="F15" s="21"/>
      <c r="G15" s="15">
        <f t="shared" si="1"/>
        <v>0</v>
      </c>
      <c r="H15" s="21">
        <f>367091.96</f>
        <v>367091.96</v>
      </c>
      <c r="I15" s="16">
        <f t="shared" si="2"/>
        <v>11012758.800000001</v>
      </c>
      <c r="J15" s="145"/>
      <c r="K15" s="16">
        <f t="shared" si="3"/>
        <v>0</v>
      </c>
      <c r="L15" s="21">
        <f>579841/1.21</f>
        <v>479207.43801652896</v>
      </c>
      <c r="M15" s="16">
        <f t="shared" si="4"/>
        <v>14376223.140495868</v>
      </c>
      <c r="N15" s="21"/>
      <c r="O15" s="15">
        <f t="shared" si="8"/>
        <v>0</v>
      </c>
      <c r="P15" s="21"/>
      <c r="Q15" s="16">
        <f t="shared" si="5"/>
        <v>0</v>
      </c>
      <c r="R15" s="144">
        <f t="shared" si="6"/>
        <v>367091.96</v>
      </c>
      <c r="S15" s="18">
        <f t="shared" si="7"/>
        <v>11012758.800000001</v>
      </c>
    </row>
    <row r="16" spans="1:19" ht="27.6" x14ac:dyDescent="0.3">
      <c r="A16" s="11" t="s">
        <v>88</v>
      </c>
      <c r="B16" s="12" t="s">
        <v>7</v>
      </c>
      <c r="C16" s="142">
        <v>30</v>
      </c>
      <c r="D16" s="14"/>
      <c r="E16" s="16">
        <f t="shared" si="0"/>
        <v>0</v>
      </c>
      <c r="F16" s="21">
        <f>622840/1.21</f>
        <v>514743.80165289255</v>
      </c>
      <c r="G16" s="15">
        <f t="shared" si="1"/>
        <v>15442314.049586777</v>
      </c>
      <c r="H16" s="21"/>
      <c r="I16" s="16">
        <f t="shared" si="2"/>
        <v>0</v>
      </c>
      <c r="J16" s="145"/>
      <c r="K16" s="16">
        <f t="shared" si="3"/>
        <v>0</v>
      </c>
      <c r="L16" s="21"/>
      <c r="M16" s="16">
        <f t="shared" si="4"/>
        <v>0</v>
      </c>
      <c r="N16" s="21"/>
      <c r="O16" s="15">
        <f t="shared" si="8"/>
        <v>0</v>
      </c>
      <c r="P16" s="21"/>
      <c r="Q16" s="16">
        <f t="shared" si="5"/>
        <v>0</v>
      </c>
      <c r="R16" s="144">
        <f t="shared" si="6"/>
        <v>514743.80165289255</v>
      </c>
      <c r="S16" s="18">
        <f t="shared" si="7"/>
        <v>15442314.049586777</v>
      </c>
    </row>
    <row r="17" spans="1:19" ht="14.4" x14ac:dyDescent="0.3">
      <c r="A17" s="11" t="s">
        <v>89</v>
      </c>
      <c r="B17" s="12" t="s">
        <v>7</v>
      </c>
      <c r="C17" s="142">
        <v>30</v>
      </c>
      <c r="D17" s="14"/>
      <c r="E17" s="16">
        <f t="shared" si="0"/>
        <v>0</v>
      </c>
      <c r="F17" s="21"/>
      <c r="G17" s="15">
        <f t="shared" si="1"/>
        <v>0</v>
      </c>
      <c r="H17" s="21"/>
      <c r="I17" s="16">
        <f t="shared" si="2"/>
        <v>0</v>
      </c>
      <c r="J17" s="145"/>
      <c r="K17" s="16">
        <f t="shared" si="3"/>
        <v>0</v>
      </c>
      <c r="L17" s="21">
        <f>100000/1.21</f>
        <v>82644.628099173555</v>
      </c>
      <c r="M17" s="16">
        <f t="shared" si="4"/>
        <v>2479338.8429752067</v>
      </c>
      <c r="N17" s="21"/>
      <c r="O17" s="15">
        <f t="shared" si="8"/>
        <v>0</v>
      </c>
      <c r="P17" s="21"/>
      <c r="Q17" s="16">
        <f t="shared" si="5"/>
        <v>0</v>
      </c>
      <c r="R17" s="144">
        <f t="shared" si="6"/>
        <v>82644.628099173555</v>
      </c>
      <c r="S17" s="18">
        <f t="shared" si="7"/>
        <v>2479338.8429752067</v>
      </c>
    </row>
    <row r="18" spans="1:19" ht="14.4" x14ac:dyDescent="0.3">
      <c r="A18" s="11" t="s">
        <v>90</v>
      </c>
      <c r="B18" s="12" t="s">
        <v>7</v>
      </c>
      <c r="C18" s="142">
        <v>30</v>
      </c>
      <c r="D18" s="14"/>
      <c r="E18" s="16">
        <f t="shared" si="0"/>
        <v>0</v>
      </c>
      <c r="F18" s="21"/>
      <c r="G18" s="15">
        <f t="shared" si="1"/>
        <v>0</v>
      </c>
      <c r="H18" s="21"/>
      <c r="I18" s="16">
        <f t="shared" si="2"/>
        <v>0</v>
      </c>
      <c r="J18" s="145"/>
      <c r="K18" s="16">
        <f t="shared" si="3"/>
        <v>0</v>
      </c>
      <c r="L18" s="21">
        <f>75250/1.21</f>
        <v>62190.082644628099</v>
      </c>
      <c r="M18" s="16">
        <f t="shared" si="4"/>
        <v>1865702.4793388429</v>
      </c>
      <c r="N18" s="21"/>
      <c r="O18" s="15">
        <f t="shared" si="8"/>
        <v>0</v>
      </c>
      <c r="P18" s="21"/>
      <c r="Q18" s="16">
        <f t="shared" si="5"/>
        <v>0</v>
      </c>
      <c r="R18" s="144">
        <f t="shared" si="6"/>
        <v>62190.082644628099</v>
      </c>
      <c r="S18" s="18">
        <f t="shared" si="7"/>
        <v>1865702.4793388429</v>
      </c>
    </row>
    <row r="19" spans="1:19" ht="27.6" x14ac:dyDescent="0.3">
      <c r="A19" s="11" t="s">
        <v>91</v>
      </c>
      <c r="B19" s="12" t="s">
        <v>7</v>
      </c>
      <c r="C19" s="142">
        <v>30</v>
      </c>
      <c r="D19" s="14"/>
      <c r="E19" s="16">
        <f t="shared" si="0"/>
        <v>0</v>
      </c>
      <c r="F19" s="21"/>
      <c r="G19" s="15">
        <f t="shared" si="1"/>
        <v>0</v>
      </c>
      <c r="H19" s="21"/>
      <c r="I19" s="16">
        <f t="shared" si="2"/>
        <v>0</v>
      </c>
      <c r="J19" s="145"/>
      <c r="K19" s="16">
        <f t="shared" si="3"/>
        <v>0</v>
      </c>
      <c r="L19" s="21">
        <f>95230/1.21</f>
        <v>78702.479338842983</v>
      </c>
      <c r="M19" s="16">
        <f t="shared" si="4"/>
        <v>2361074.3801652896</v>
      </c>
      <c r="N19" s="21"/>
      <c r="O19" s="15">
        <f t="shared" si="8"/>
        <v>0</v>
      </c>
      <c r="P19" s="21"/>
      <c r="Q19" s="16">
        <f t="shared" si="5"/>
        <v>0</v>
      </c>
      <c r="R19" s="144">
        <f t="shared" si="6"/>
        <v>78702.479338842983</v>
      </c>
      <c r="S19" s="18">
        <f t="shared" si="7"/>
        <v>2361074.3801652896</v>
      </c>
    </row>
    <row r="20" spans="1:19" ht="27.6" x14ac:dyDescent="0.3">
      <c r="A20" s="11" t="s">
        <v>92</v>
      </c>
      <c r="B20" s="12" t="s">
        <v>7</v>
      </c>
      <c r="C20" s="142">
        <v>30</v>
      </c>
      <c r="D20" s="14"/>
      <c r="E20" s="16">
        <f t="shared" si="0"/>
        <v>0</v>
      </c>
      <c r="F20" s="21"/>
      <c r="G20" s="15">
        <f t="shared" si="1"/>
        <v>0</v>
      </c>
      <c r="H20" s="21"/>
      <c r="I20" s="16">
        <f t="shared" si="2"/>
        <v>0</v>
      </c>
      <c r="J20" s="145"/>
      <c r="K20" s="16">
        <f t="shared" si="3"/>
        <v>0</v>
      </c>
      <c r="L20" s="21"/>
      <c r="M20" s="16">
        <f t="shared" si="4"/>
        <v>0</v>
      </c>
      <c r="N20" s="21">
        <f>448000/1.21</f>
        <v>370247.93388429756</v>
      </c>
      <c r="O20" s="15">
        <f t="shared" si="8"/>
        <v>0</v>
      </c>
      <c r="P20" s="21"/>
      <c r="Q20" s="16">
        <f t="shared" si="5"/>
        <v>0</v>
      </c>
      <c r="R20" s="144">
        <f t="shared" si="6"/>
        <v>0</v>
      </c>
      <c r="S20" s="18">
        <f t="shared" si="7"/>
        <v>0</v>
      </c>
    </row>
    <row r="21" spans="1:19" ht="15.75" customHeight="1" x14ac:dyDescent="0.3">
      <c r="A21" s="11" t="s">
        <v>93</v>
      </c>
      <c r="B21" s="12" t="s">
        <v>7</v>
      </c>
      <c r="C21" s="142">
        <v>30</v>
      </c>
      <c r="D21" s="14"/>
      <c r="E21" s="16">
        <f t="shared" si="0"/>
        <v>0</v>
      </c>
      <c r="F21" s="21"/>
      <c r="G21" s="15">
        <f t="shared" si="1"/>
        <v>0</v>
      </c>
      <c r="H21" s="21"/>
      <c r="I21" s="16">
        <f t="shared" si="2"/>
        <v>0</v>
      </c>
      <c r="J21" s="145"/>
      <c r="K21" s="16">
        <f t="shared" si="3"/>
        <v>0</v>
      </c>
      <c r="L21" s="21"/>
      <c r="M21" s="16">
        <f t="shared" si="4"/>
        <v>0</v>
      </c>
      <c r="N21" s="21"/>
      <c r="O21" s="15">
        <f t="shared" si="8"/>
        <v>0</v>
      </c>
      <c r="P21" s="21">
        <v>89563</v>
      </c>
      <c r="Q21" s="16">
        <f t="shared" si="5"/>
        <v>2686890</v>
      </c>
      <c r="R21" s="144">
        <f t="shared" si="6"/>
        <v>0</v>
      </c>
      <c r="S21" s="18">
        <f t="shared" si="7"/>
        <v>0</v>
      </c>
    </row>
    <row r="22" spans="1:19" ht="15.75" customHeight="1" x14ac:dyDescent="0.3">
      <c r="A22" s="11" t="s">
        <v>94</v>
      </c>
      <c r="B22" s="22" t="s">
        <v>7</v>
      </c>
      <c r="C22" s="142">
        <v>30</v>
      </c>
      <c r="D22" s="14"/>
      <c r="E22" s="16">
        <f t="shared" si="0"/>
        <v>0</v>
      </c>
      <c r="F22" s="21"/>
      <c r="G22" s="15">
        <f t="shared" si="1"/>
        <v>0</v>
      </c>
      <c r="H22" s="21">
        <f>2288.48</f>
        <v>2288.48</v>
      </c>
      <c r="I22" s="16">
        <f t="shared" si="2"/>
        <v>68654.399999999994</v>
      </c>
      <c r="J22" s="145"/>
      <c r="K22" s="16">
        <f t="shared" si="3"/>
        <v>0</v>
      </c>
      <c r="L22" s="21"/>
      <c r="M22" s="16">
        <f t="shared" si="4"/>
        <v>0</v>
      </c>
      <c r="N22" s="21"/>
      <c r="O22" s="15">
        <f t="shared" si="8"/>
        <v>0</v>
      </c>
      <c r="P22" s="21"/>
      <c r="Q22" s="16">
        <f t="shared" si="5"/>
        <v>0</v>
      </c>
      <c r="R22" s="144">
        <f t="shared" si="6"/>
        <v>2288.48</v>
      </c>
      <c r="S22" s="18">
        <f t="shared" si="7"/>
        <v>68654.399999999994</v>
      </c>
    </row>
    <row r="23" spans="1:19" ht="15.75" hidden="1" customHeight="1" x14ac:dyDescent="0.3">
      <c r="A23" s="11"/>
      <c r="B23" s="22"/>
      <c r="C23" s="142"/>
      <c r="D23" s="14"/>
      <c r="E23" s="16">
        <f t="shared" si="0"/>
        <v>0</v>
      </c>
      <c r="F23" s="21"/>
      <c r="G23" s="15">
        <f t="shared" si="1"/>
        <v>0</v>
      </c>
      <c r="H23" s="21"/>
      <c r="I23" s="16">
        <f t="shared" si="2"/>
        <v>0</v>
      </c>
      <c r="J23" s="145"/>
      <c r="K23" s="16">
        <f t="shared" si="3"/>
        <v>0</v>
      </c>
      <c r="L23" s="21"/>
      <c r="M23" s="16">
        <f t="shared" si="4"/>
        <v>0</v>
      </c>
      <c r="N23" s="21"/>
      <c r="O23" s="15">
        <f t="shared" si="8"/>
        <v>0</v>
      </c>
      <c r="P23" s="21"/>
      <c r="Q23" s="16">
        <f t="shared" si="5"/>
        <v>0</v>
      </c>
      <c r="R23" s="144">
        <f t="shared" si="6"/>
        <v>0</v>
      </c>
      <c r="S23" s="18">
        <f t="shared" si="7"/>
        <v>0</v>
      </c>
    </row>
    <row r="24" spans="1:19" ht="15.75" hidden="1" customHeight="1" x14ac:dyDescent="0.3">
      <c r="A24" s="11"/>
      <c r="B24" s="22"/>
      <c r="C24" s="142"/>
      <c r="D24" s="14"/>
      <c r="E24" s="16">
        <f t="shared" si="0"/>
        <v>0</v>
      </c>
      <c r="F24" s="21"/>
      <c r="G24" s="15">
        <f t="shared" si="1"/>
        <v>0</v>
      </c>
      <c r="H24" s="21"/>
      <c r="I24" s="16">
        <f t="shared" si="2"/>
        <v>0</v>
      </c>
      <c r="J24" s="145"/>
      <c r="K24" s="16">
        <f t="shared" si="3"/>
        <v>0</v>
      </c>
      <c r="L24" s="21"/>
      <c r="M24" s="16">
        <f t="shared" si="4"/>
        <v>0</v>
      </c>
      <c r="N24" s="21"/>
      <c r="O24" s="15">
        <f t="shared" si="8"/>
        <v>0</v>
      </c>
      <c r="P24" s="21"/>
      <c r="Q24" s="16">
        <f t="shared" si="5"/>
        <v>0</v>
      </c>
      <c r="R24" s="144">
        <f t="shared" si="6"/>
        <v>0</v>
      </c>
      <c r="S24" s="18">
        <f t="shared" si="7"/>
        <v>0</v>
      </c>
    </row>
    <row r="25" spans="1:19" ht="15.75" hidden="1" customHeight="1" x14ac:dyDescent="0.3">
      <c r="A25" s="11"/>
      <c r="B25" s="22"/>
      <c r="C25" s="142"/>
      <c r="D25" s="14"/>
      <c r="E25" s="16">
        <f t="shared" si="0"/>
        <v>0</v>
      </c>
      <c r="F25" s="21"/>
      <c r="G25" s="15">
        <f t="shared" si="1"/>
        <v>0</v>
      </c>
      <c r="H25" s="21"/>
      <c r="I25" s="16">
        <f t="shared" si="2"/>
        <v>0</v>
      </c>
      <c r="J25" s="145"/>
      <c r="K25" s="16">
        <f t="shared" si="3"/>
        <v>0</v>
      </c>
      <c r="L25" s="21"/>
      <c r="M25" s="16">
        <f t="shared" si="4"/>
        <v>0</v>
      </c>
      <c r="N25" s="21"/>
      <c r="O25" s="15">
        <f t="shared" si="8"/>
        <v>0</v>
      </c>
      <c r="P25" s="21"/>
      <c r="Q25" s="16">
        <f t="shared" si="5"/>
        <v>0</v>
      </c>
      <c r="R25" s="144">
        <f t="shared" si="6"/>
        <v>0</v>
      </c>
      <c r="S25" s="18">
        <f t="shared" si="7"/>
        <v>0</v>
      </c>
    </row>
    <row r="26" spans="1:19" ht="15.75" hidden="1" customHeight="1" x14ac:dyDescent="0.3">
      <c r="A26" s="11"/>
      <c r="B26" s="22"/>
      <c r="C26" s="142"/>
      <c r="D26" s="14"/>
      <c r="E26" s="16">
        <f t="shared" si="0"/>
        <v>0</v>
      </c>
      <c r="F26" s="21"/>
      <c r="G26" s="15">
        <f t="shared" si="1"/>
        <v>0</v>
      </c>
      <c r="H26" s="21"/>
      <c r="I26" s="16">
        <f t="shared" si="2"/>
        <v>0</v>
      </c>
      <c r="J26" s="145"/>
      <c r="K26" s="16">
        <f t="shared" si="3"/>
        <v>0</v>
      </c>
      <c r="L26" s="21"/>
      <c r="M26" s="16">
        <f t="shared" si="4"/>
        <v>0</v>
      </c>
      <c r="N26" s="21"/>
      <c r="O26" s="15">
        <f t="shared" si="8"/>
        <v>0</v>
      </c>
      <c r="P26" s="21"/>
      <c r="Q26" s="16">
        <f t="shared" si="5"/>
        <v>0</v>
      </c>
      <c r="R26" s="144">
        <f t="shared" si="6"/>
        <v>0</v>
      </c>
      <c r="S26" s="18">
        <f t="shared" si="7"/>
        <v>0</v>
      </c>
    </row>
    <row r="27" spans="1:19" ht="15.75" hidden="1" customHeight="1" x14ac:dyDescent="0.3">
      <c r="A27" s="11"/>
      <c r="B27" s="22"/>
      <c r="C27" s="142"/>
      <c r="D27" s="14"/>
      <c r="E27" s="16">
        <f t="shared" si="0"/>
        <v>0</v>
      </c>
      <c r="F27" s="21"/>
      <c r="G27" s="15">
        <f t="shared" si="1"/>
        <v>0</v>
      </c>
      <c r="H27" s="21"/>
      <c r="I27" s="16">
        <f t="shared" si="2"/>
        <v>0</v>
      </c>
      <c r="J27" s="145"/>
      <c r="K27" s="16">
        <f t="shared" si="3"/>
        <v>0</v>
      </c>
      <c r="L27" s="21"/>
      <c r="M27" s="16">
        <f t="shared" si="4"/>
        <v>0</v>
      </c>
      <c r="N27" s="21"/>
      <c r="O27" s="15">
        <f t="shared" si="8"/>
        <v>0</v>
      </c>
      <c r="P27" s="21"/>
      <c r="Q27" s="16">
        <f t="shared" si="5"/>
        <v>0</v>
      </c>
      <c r="R27" s="144">
        <f t="shared" si="6"/>
        <v>0</v>
      </c>
      <c r="S27" s="18">
        <f t="shared" si="7"/>
        <v>0</v>
      </c>
    </row>
    <row r="28" spans="1:19" ht="15.75" customHeight="1" x14ac:dyDescent="0.3">
      <c r="A28" s="23"/>
      <c r="B28" s="24"/>
      <c r="C28" s="146"/>
      <c r="D28" s="26"/>
      <c r="E28" s="29">
        <f t="shared" si="0"/>
        <v>0</v>
      </c>
      <c r="F28" s="28"/>
      <c r="G28" s="27">
        <f t="shared" si="1"/>
        <v>0</v>
      </c>
      <c r="H28" s="28"/>
      <c r="I28" s="29">
        <f t="shared" si="2"/>
        <v>0</v>
      </c>
      <c r="J28" s="147"/>
      <c r="K28" s="29">
        <f t="shared" si="3"/>
        <v>0</v>
      </c>
      <c r="L28" s="28"/>
      <c r="M28" s="29">
        <f t="shared" si="4"/>
        <v>0</v>
      </c>
      <c r="N28" s="28"/>
      <c r="O28" s="27">
        <f t="shared" si="8"/>
        <v>0</v>
      </c>
      <c r="P28" s="28"/>
      <c r="Q28" s="29">
        <f t="shared" si="5"/>
        <v>0</v>
      </c>
      <c r="R28" s="148">
        <f t="shared" si="6"/>
        <v>0</v>
      </c>
      <c r="S28" s="31">
        <f t="shared" si="7"/>
        <v>0</v>
      </c>
    </row>
    <row r="29" spans="1:19" ht="15.75" customHeight="1" x14ac:dyDescent="0.3">
      <c r="A29" s="272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4"/>
    </row>
    <row r="30" spans="1:19" ht="15.75" customHeight="1" x14ac:dyDescent="0.3">
      <c r="A30" s="32" t="s">
        <v>17</v>
      </c>
      <c r="B30" s="274"/>
      <c r="C30" s="275"/>
      <c r="D30" s="33"/>
      <c r="E30" s="34">
        <f>+SUM(E12:E27)</f>
        <v>17844049.738016531</v>
      </c>
      <c r="F30" s="35"/>
      <c r="G30" s="34">
        <f>+SUM(G12:G27)</f>
        <v>15442314.049586777</v>
      </c>
      <c r="H30" s="35"/>
      <c r="I30" s="34">
        <f>SUM(I12:I27)</f>
        <v>11734722.000000002</v>
      </c>
      <c r="J30" s="35"/>
      <c r="K30" s="34">
        <f>+SUM(K12:K28)</f>
        <v>9254610.4958677683</v>
      </c>
      <c r="L30" s="35"/>
      <c r="M30" s="34">
        <f>+SUM(M12:M26)</f>
        <v>21082338.842975207</v>
      </c>
      <c r="N30" s="35"/>
      <c r="O30" s="34">
        <f>+SUM(O12:O26)</f>
        <v>0</v>
      </c>
      <c r="P30" s="35"/>
      <c r="Q30" s="34">
        <f>+SUM(Q12:Q26)</f>
        <v>24866220</v>
      </c>
      <c r="R30" s="36"/>
      <c r="S30" s="34">
        <f>+SUM(S12:S27)</f>
        <v>43030619.506611563</v>
      </c>
    </row>
    <row r="31" spans="1:19" ht="15.75" customHeight="1" x14ac:dyDescent="0.3">
      <c r="A31" s="37"/>
      <c r="B31" s="38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</row>
    <row r="32" spans="1:19" ht="15.75" customHeight="1" x14ac:dyDescent="0.3">
      <c r="A32" s="40" t="s">
        <v>18</v>
      </c>
      <c r="B32" s="276"/>
      <c r="C32" s="271"/>
      <c r="D32" s="41">
        <v>0</v>
      </c>
      <c r="E32" s="42">
        <f>+E30*D32</f>
        <v>0</v>
      </c>
      <c r="F32" s="41">
        <v>0</v>
      </c>
      <c r="G32" s="42">
        <f>+G30*F32</f>
        <v>0</v>
      </c>
      <c r="H32" s="41">
        <v>0</v>
      </c>
      <c r="I32" s="43">
        <f>+I30*H32</f>
        <v>0</v>
      </c>
      <c r="J32" s="41">
        <v>0</v>
      </c>
      <c r="K32" s="43">
        <f>+K30*J32</f>
        <v>0</v>
      </c>
      <c r="L32" s="41">
        <v>0</v>
      </c>
      <c r="M32" s="43">
        <f>+M30*L32</f>
        <v>0</v>
      </c>
      <c r="N32" s="41">
        <v>0</v>
      </c>
      <c r="O32" s="43">
        <f>+O30*N32</f>
        <v>0</v>
      </c>
      <c r="P32" s="41">
        <v>0</v>
      </c>
      <c r="Q32" s="43">
        <f>+Q30*P32</f>
        <v>0</v>
      </c>
      <c r="R32" s="44"/>
      <c r="S32" s="43">
        <f>+S30*R32</f>
        <v>0</v>
      </c>
    </row>
    <row r="33" spans="1:19" ht="15.75" customHeight="1" x14ac:dyDescent="0.3">
      <c r="A33" s="45" t="s">
        <v>19</v>
      </c>
      <c r="B33" s="277">
        <v>1</v>
      </c>
      <c r="C33" s="278"/>
      <c r="D33" s="46"/>
      <c r="E33" s="47"/>
      <c r="F33" s="46"/>
      <c r="G33" s="47"/>
      <c r="H33" s="46"/>
      <c r="I33" s="48"/>
      <c r="J33" s="46"/>
      <c r="K33" s="48"/>
      <c r="L33" s="46"/>
      <c r="M33" s="48"/>
      <c r="N33" s="46"/>
      <c r="O33" s="48"/>
      <c r="P33" s="46"/>
      <c r="Q33" s="48"/>
      <c r="R33" s="49"/>
      <c r="S33" s="48"/>
    </row>
    <row r="34" spans="1:19" ht="15.75" customHeight="1" x14ac:dyDescent="0.3">
      <c r="A34" s="45" t="s">
        <v>20</v>
      </c>
      <c r="B34" s="277"/>
      <c r="C34" s="278"/>
      <c r="D34" s="46"/>
      <c r="E34" s="47">
        <f>+E30-E32</f>
        <v>17844049.738016531</v>
      </c>
      <c r="F34" s="46"/>
      <c r="G34" s="47">
        <f>+G30-G32</f>
        <v>15442314.049586777</v>
      </c>
      <c r="H34" s="46"/>
      <c r="I34" s="48">
        <f>+I30-I32</f>
        <v>11734722.000000002</v>
      </c>
      <c r="J34" s="46"/>
      <c r="K34" s="48">
        <f>+K30-K32</f>
        <v>9254610.4958677683</v>
      </c>
      <c r="L34" s="46"/>
      <c r="M34" s="48">
        <f>+M30-M32</f>
        <v>21082338.842975207</v>
      </c>
      <c r="N34" s="46"/>
      <c r="O34" s="48">
        <f>+O30-O32</f>
        <v>0</v>
      </c>
      <c r="P34" s="46"/>
      <c r="Q34" s="48">
        <f>+Q30-Q32</f>
        <v>24866220</v>
      </c>
      <c r="R34" s="49"/>
      <c r="S34" s="48">
        <f>+S30-S32</f>
        <v>43030619.506611563</v>
      </c>
    </row>
    <row r="35" spans="1:19" ht="15.75" customHeight="1" x14ac:dyDescent="0.3">
      <c r="A35" s="45" t="s">
        <v>21</v>
      </c>
      <c r="B35" s="279">
        <v>0.21</v>
      </c>
      <c r="C35" s="278"/>
      <c r="D35" s="46"/>
      <c r="E35" s="47">
        <f>E34*B35</f>
        <v>3747250.4449834712</v>
      </c>
      <c r="F35" s="46"/>
      <c r="G35" s="47">
        <f>+G34*$B$35</f>
        <v>3242885.9504132229</v>
      </c>
      <c r="H35" s="46"/>
      <c r="I35" s="48">
        <f>+I34*$B$35</f>
        <v>2464291.62</v>
      </c>
      <c r="J35" s="46"/>
      <c r="K35" s="48">
        <f>+K34*$B$35</f>
        <v>1943468.2041322312</v>
      </c>
      <c r="L35" s="46"/>
      <c r="M35" s="48">
        <f>+M34*$B$35</f>
        <v>4427291.1570247933</v>
      </c>
      <c r="N35" s="46"/>
      <c r="O35" s="48">
        <f>+O34*$B$35</f>
        <v>0</v>
      </c>
      <c r="P35" s="46"/>
      <c r="Q35" s="48">
        <f>+Q34*$B$35</f>
        <v>5221906.2</v>
      </c>
      <c r="R35" s="49"/>
      <c r="S35" s="48">
        <f>S34*B35</f>
        <v>9036430.0963884275</v>
      </c>
    </row>
    <row r="36" spans="1:19" ht="15.75" customHeight="1" x14ac:dyDescent="0.3">
      <c r="A36" s="50" t="s">
        <v>22</v>
      </c>
      <c r="B36" s="51"/>
      <c r="C36" s="52"/>
      <c r="D36" s="53"/>
      <c r="E36" s="54"/>
      <c r="F36" s="53"/>
      <c r="G36" s="54"/>
      <c r="H36" s="53"/>
      <c r="I36" s="55"/>
      <c r="J36" s="53"/>
      <c r="K36" s="55">
        <f>772.51</f>
        <v>772.51</v>
      </c>
      <c r="L36" s="53"/>
      <c r="M36" s="55"/>
      <c r="N36" s="53"/>
      <c r="O36" s="55"/>
      <c r="P36" s="53"/>
      <c r="Q36" s="55"/>
      <c r="R36" s="56"/>
      <c r="S36" s="55"/>
    </row>
    <row r="37" spans="1:19" ht="15.75" customHeight="1" x14ac:dyDescent="0.3">
      <c r="A37" s="57"/>
      <c r="B37" s="58"/>
      <c r="C37" s="59"/>
      <c r="D37" s="60"/>
      <c r="E37" s="61"/>
      <c r="F37" s="60"/>
      <c r="G37" s="61"/>
      <c r="H37" s="60"/>
      <c r="I37" s="62"/>
      <c r="J37" s="63"/>
      <c r="K37" s="64"/>
      <c r="L37" s="63"/>
      <c r="M37" s="64"/>
      <c r="N37" s="63"/>
      <c r="O37" s="64"/>
      <c r="P37" s="63"/>
      <c r="Q37" s="64"/>
      <c r="R37" s="65"/>
      <c r="S37" s="62"/>
    </row>
    <row r="38" spans="1:19" ht="15.75" customHeight="1" x14ac:dyDescent="0.3">
      <c r="A38" s="37"/>
      <c r="B38" s="38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</row>
    <row r="39" spans="1:19" ht="15.75" customHeight="1" x14ac:dyDescent="0.3">
      <c r="A39" s="66" t="s">
        <v>23</v>
      </c>
      <c r="B39" s="67"/>
      <c r="C39" s="68"/>
      <c r="D39" s="69"/>
      <c r="E39" s="70">
        <f>+E34+E35+E37</f>
        <v>21591300.183000002</v>
      </c>
      <c r="F39" s="157"/>
      <c r="G39" s="70">
        <f>G34+G35</f>
        <v>18685200</v>
      </c>
      <c r="H39" s="157"/>
      <c r="I39" s="70">
        <f>+I34+I35+I36</f>
        <v>14199013.620000001</v>
      </c>
      <c r="J39" s="157"/>
      <c r="K39" s="70">
        <f>+K34+K35+K36</f>
        <v>11198851.209999999</v>
      </c>
      <c r="L39" s="71"/>
      <c r="M39" s="70">
        <f>+M34+M35+M36</f>
        <v>25509630</v>
      </c>
      <c r="N39" s="71"/>
      <c r="O39" s="70">
        <f>+O34+O35+O36</f>
        <v>0</v>
      </c>
      <c r="P39" s="71"/>
      <c r="Q39" s="70">
        <f>+Q34+Q35+Q36</f>
        <v>30088126.199999999</v>
      </c>
      <c r="R39" s="69"/>
      <c r="S39" s="72">
        <f>SUM(S34:S35)</f>
        <v>52067049.602999993</v>
      </c>
    </row>
    <row r="40" spans="1:19" ht="59.25" customHeight="1" x14ac:dyDescent="0.3">
      <c r="A40" s="158" t="s">
        <v>24</v>
      </c>
      <c r="B40" s="303"/>
      <c r="C40" s="300"/>
      <c r="D40" s="299" t="s">
        <v>95</v>
      </c>
      <c r="E40" s="302"/>
      <c r="F40" s="299" t="s">
        <v>95</v>
      </c>
      <c r="G40" s="302"/>
      <c r="H40" s="299" t="s">
        <v>95</v>
      </c>
      <c r="I40" s="302"/>
      <c r="J40" s="299" t="s">
        <v>95</v>
      </c>
      <c r="K40" s="302"/>
      <c r="L40" s="304"/>
      <c r="M40" s="300"/>
      <c r="N40" s="299"/>
      <c r="O40" s="300"/>
      <c r="P40" s="299"/>
      <c r="Q40" s="300"/>
      <c r="R40" s="301"/>
      <c r="S40" s="302"/>
    </row>
    <row r="41" spans="1:19" ht="15.75" customHeight="1" x14ac:dyDescent="0.3">
      <c r="H41" s="74"/>
    </row>
    <row r="42" spans="1:19" ht="15.75" customHeight="1" x14ac:dyDescent="0.3">
      <c r="J42" s="159" t="s">
        <v>66</v>
      </c>
    </row>
    <row r="43" spans="1:19" ht="15.75" customHeight="1" x14ac:dyDescent="0.3"/>
    <row r="44" spans="1:19" ht="15.75" customHeight="1" x14ac:dyDescent="0.3"/>
    <row r="45" spans="1:19" ht="15.75" customHeight="1" x14ac:dyDescent="0.3"/>
    <row r="46" spans="1:19" ht="15.75" customHeight="1" x14ac:dyDescent="0.3"/>
    <row r="47" spans="1:19" ht="15.75" customHeight="1" x14ac:dyDescent="0.3"/>
    <row r="48" spans="1:1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7">
    <mergeCell ref="J10:K10"/>
    <mergeCell ref="L10:M10"/>
    <mergeCell ref="N10:O10"/>
    <mergeCell ref="P10:Q10"/>
    <mergeCell ref="A8:S8"/>
    <mergeCell ref="A10:A11"/>
    <mergeCell ref="B10:B11"/>
    <mergeCell ref="C10:C11"/>
    <mergeCell ref="D10:E10"/>
    <mergeCell ref="F10:G10"/>
    <mergeCell ref="R10:S10"/>
    <mergeCell ref="H10:I10"/>
    <mergeCell ref="A29:R29"/>
    <mergeCell ref="B30:C30"/>
    <mergeCell ref="B32:C32"/>
    <mergeCell ref="B33:C33"/>
    <mergeCell ref="B34:C34"/>
    <mergeCell ref="B35:C35"/>
    <mergeCell ref="P40:Q40"/>
    <mergeCell ref="R40:S40"/>
    <mergeCell ref="B40:C40"/>
    <mergeCell ref="D40:E40"/>
    <mergeCell ref="F40:G40"/>
    <mergeCell ref="H40:I40"/>
    <mergeCell ref="J40:K40"/>
    <mergeCell ref="L40:M40"/>
    <mergeCell ref="N40:O40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1000"/>
  <sheetViews>
    <sheetView workbookViewId="0">
      <selection activeCell="G33" sqref="G33"/>
    </sheetView>
  </sheetViews>
  <sheetFormatPr baseColWidth="10" defaultColWidth="14.44140625" defaultRowHeight="15" customHeight="1" x14ac:dyDescent="0.3"/>
  <cols>
    <col min="1" max="1" width="27.33203125" customWidth="1"/>
    <col min="2" max="2" width="6.33203125" customWidth="1"/>
    <col min="3" max="3" width="7.88671875" customWidth="1"/>
    <col min="4" max="4" width="11.44140625" customWidth="1"/>
    <col min="5" max="5" width="14.109375" customWidth="1"/>
    <col min="6" max="6" width="11.44140625" customWidth="1"/>
    <col min="7" max="7" width="14.109375" customWidth="1"/>
    <col min="8" max="10" width="12" customWidth="1"/>
    <col min="11" max="11" width="14.109375" customWidth="1"/>
    <col min="12" max="12" width="12" customWidth="1"/>
    <col min="13" max="13" width="14.109375" customWidth="1"/>
    <col min="14" max="14" width="12" customWidth="1"/>
    <col min="15" max="15" width="14.109375" customWidth="1"/>
    <col min="16" max="16" width="12" customWidth="1"/>
    <col min="17" max="17" width="14.109375" customWidth="1"/>
    <col min="18" max="28" width="10.6640625" customWidth="1"/>
  </cols>
  <sheetData>
    <row r="1" spans="1:28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x14ac:dyDescent="0.3">
      <c r="A2" s="5" t="s">
        <v>96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</row>
    <row r="3" spans="1:28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1:28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spans="1:28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</row>
    <row r="6" spans="1:28" x14ac:dyDescent="0.3">
      <c r="A6" s="5" t="s">
        <v>97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</row>
    <row r="7" spans="1:28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</row>
    <row r="8" spans="1:28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5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</row>
    <row r="9" spans="1:28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</row>
    <row r="10" spans="1:28" ht="14.4" x14ac:dyDescent="0.3">
      <c r="A10" s="310" t="s">
        <v>6</v>
      </c>
      <c r="B10" s="311" t="s">
        <v>7</v>
      </c>
      <c r="C10" s="312" t="s">
        <v>8</v>
      </c>
      <c r="D10" s="309" t="s">
        <v>34</v>
      </c>
      <c r="E10" s="271"/>
      <c r="F10" s="307" t="s">
        <v>32</v>
      </c>
      <c r="G10" s="271"/>
      <c r="H10" s="307" t="s">
        <v>98</v>
      </c>
      <c r="I10" s="271"/>
      <c r="J10" s="309" t="s">
        <v>99</v>
      </c>
      <c r="K10" s="282"/>
      <c r="L10" s="307" t="s">
        <v>100</v>
      </c>
      <c r="M10" s="271"/>
      <c r="N10" s="307" t="s">
        <v>35</v>
      </c>
      <c r="O10" s="271"/>
      <c r="P10" s="307" t="s">
        <v>12</v>
      </c>
      <c r="Q10" s="271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</row>
    <row r="11" spans="1:28" ht="14.4" x14ac:dyDescent="0.3">
      <c r="A11" s="294"/>
      <c r="B11" s="292"/>
      <c r="C11" s="292"/>
      <c r="D11" s="89" t="s">
        <v>13</v>
      </c>
      <c r="E11" s="90" t="s">
        <v>14</v>
      </c>
      <c r="F11" s="91" t="s">
        <v>13</v>
      </c>
      <c r="G11" s="90" t="s">
        <v>14</v>
      </c>
      <c r="H11" s="91" t="s">
        <v>13</v>
      </c>
      <c r="I11" s="90" t="s">
        <v>14</v>
      </c>
      <c r="J11" s="89" t="s">
        <v>13</v>
      </c>
      <c r="K11" s="92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  <c r="P11" s="91" t="s">
        <v>13</v>
      </c>
      <c r="Q11" s="90" t="s">
        <v>14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</row>
    <row r="12" spans="1:28" ht="14.4" x14ac:dyDescent="0.3">
      <c r="A12" s="93" t="s">
        <v>101</v>
      </c>
      <c r="B12" s="12" t="s">
        <v>7</v>
      </c>
      <c r="C12" s="13">
        <v>200</v>
      </c>
      <c r="D12" s="94">
        <f>5888.209/1.21</f>
        <v>4866.2884297520659</v>
      </c>
      <c r="E12" s="95">
        <f t="shared" ref="E12:E17" si="0">D12*C12</f>
        <v>973257.68595041323</v>
      </c>
      <c r="F12" s="96">
        <f>6190/1.21</f>
        <v>5115.7024793388427</v>
      </c>
      <c r="G12" s="97">
        <f t="shared" ref="G12:G17" si="1">C12*F12</f>
        <v>1023140.4958677685</v>
      </c>
      <c r="H12" s="96">
        <f>6000/1.21</f>
        <v>4958.6776859504134</v>
      </c>
      <c r="I12" s="97">
        <f t="shared" ref="I12:I17" si="2">C12*H12</f>
        <v>991735.53719008272</v>
      </c>
      <c r="J12" s="94">
        <v>5192.07</v>
      </c>
      <c r="K12" s="98">
        <f t="shared" ref="K12:K17" si="3">C12*J12</f>
        <v>1038414</v>
      </c>
      <c r="L12" s="96">
        <v>4824.78</v>
      </c>
      <c r="M12" s="97">
        <f t="shared" ref="M12:M17" si="4">C12*L12</f>
        <v>964956</v>
      </c>
      <c r="N12" s="96">
        <v>4723.8339999999998</v>
      </c>
      <c r="O12" s="97">
        <f t="shared" ref="O12:O17" si="5">C12*N12</f>
        <v>944766.79999999993</v>
      </c>
      <c r="P12" s="99">
        <f t="shared" ref="P12:P16" si="6">MIN(D12,F12,H12,J12,L12,N12)</f>
        <v>4723.8339999999998</v>
      </c>
      <c r="Q12" s="100">
        <f t="shared" ref="Q12:Q17" si="7">P12*C12</f>
        <v>944766.79999999993</v>
      </c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</row>
    <row r="13" spans="1:28" ht="14.4" x14ac:dyDescent="0.3">
      <c r="A13" s="101" t="s">
        <v>102</v>
      </c>
      <c r="B13" s="12" t="s">
        <v>7</v>
      </c>
      <c r="C13" s="13">
        <v>80</v>
      </c>
      <c r="D13" s="94">
        <f>7669.569/1.21</f>
        <v>6338.486776859505</v>
      </c>
      <c r="E13" s="95">
        <f t="shared" si="0"/>
        <v>507078.94214876043</v>
      </c>
      <c r="F13" s="96">
        <f>8590/1.21</f>
        <v>7099.1735537190089</v>
      </c>
      <c r="G13" s="97">
        <f t="shared" si="1"/>
        <v>567933.88429752074</v>
      </c>
      <c r="H13" s="96">
        <f>7600/1.21</f>
        <v>6280.9917355371899</v>
      </c>
      <c r="I13" s="97">
        <f t="shared" si="2"/>
        <v>502479.33884297521</v>
      </c>
      <c r="J13" s="94">
        <v>7226.83</v>
      </c>
      <c r="K13" s="98">
        <f t="shared" si="3"/>
        <v>578146.4</v>
      </c>
      <c r="L13" s="96">
        <v>6306.05</v>
      </c>
      <c r="M13" s="97">
        <f t="shared" si="4"/>
        <v>504484</v>
      </c>
      <c r="N13" s="96">
        <v>6302.5749999999998</v>
      </c>
      <c r="O13" s="97">
        <f t="shared" si="5"/>
        <v>504206</v>
      </c>
      <c r="P13" s="99">
        <f t="shared" si="6"/>
        <v>6280.9917355371899</v>
      </c>
      <c r="Q13" s="100">
        <f t="shared" si="7"/>
        <v>502479.33884297521</v>
      </c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</row>
    <row r="14" spans="1:28" ht="14.4" x14ac:dyDescent="0.3">
      <c r="A14" s="101" t="s">
        <v>103</v>
      </c>
      <c r="B14" s="12" t="s">
        <v>7</v>
      </c>
      <c r="C14" s="13">
        <v>540</v>
      </c>
      <c r="D14" s="94">
        <f>570.59/1.21</f>
        <v>471.56198347107443</v>
      </c>
      <c r="E14" s="95">
        <f t="shared" si="0"/>
        <v>254643.47107438018</v>
      </c>
      <c r="F14" s="96">
        <f>659/1.21</f>
        <v>544.62809917355378</v>
      </c>
      <c r="G14" s="97">
        <f t="shared" si="1"/>
        <v>294099.17355371907</v>
      </c>
      <c r="H14" s="160">
        <v>480</v>
      </c>
      <c r="I14" s="97">
        <f t="shared" si="2"/>
        <v>259200</v>
      </c>
      <c r="J14" s="94"/>
      <c r="K14" s="98">
        <f t="shared" si="3"/>
        <v>0</v>
      </c>
      <c r="L14" s="96">
        <v>525.17999999999995</v>
      </c>
      <c r="M14" s="97">
        <f t="shared" si="4"/>
        <v>283597.19999999995</v>
      </c>
      <c r="N14" s="96">
        <v>568.976</v>
      </c>
      <c r="O14" s="97">
        <f t="shared" si="5"/>
        <v>307247.03999999998</v>
      </c>
      <c r="P14" s="99">
        <f t="shared" si="6"/>
        <v>471.56198347107443</v>
      </c>
      <c r="Q14" s="100">
        <f t="shared" si="7"/>
        <v>254643.47107438018</v>
      </c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</row>
    <row r="15" spans="1:28" ht="14.4" x14ac:dyDescent="0.3">
      <c r="A15" s="93" t="s">
        <v>104</v>
      </c>
      <c r="B15" s="12" t="s">
        <v>7</v>
      </c>
      <c r="C15" s="13">
        <v>1</v>
      </c>
      <c r="D15" s="94"/>
      <c r="E15" s="95">
        <f t="shared" si="0"/>
        <v>0</v>
      </c>
      <c r="F15" s="96"/>
      <c r="G15" s="97">
        <f t="shared" si="1"/>
        <v>0</v>
      </c>
      <c r="H15" s="160">
        <v>500000</v>
      </c>
      <c r="I15" s="97">
        <f t="shared" si="2"/>
        <v>500000</v>
      </c>
      <c r="J15" s="94">
        <v>614109.6</v>
      </c>
      <c r="K15" s="98">
        <f t="shared" si="3"/>
        <v>614109.6</v>
      </c>
      <c r="L15" s="96">
        <f>373000*2/1.21</f>
        <v>616528.92561983468</v>
      </c>
      <c r="M15" s="97">
        <f t="shared" si="4"/>
        <v>616528.92561983468</v>
      </c>
      <c r="N15" s="96">
        <v>326694.09999999998</v>
      </c>
      <c r="O15" s="97">
        <f t="shared" si="5"/>
        <v>326694.09999999998</v>
      </c>
      <c r="P15" s="99">
        <f t="shared" si="6"/>
        <v>326694.09999999998</v>
      </c>
      <c r="Q15" s="100">
        <f t="shared" si="7"/>
        <v>326694.09999999998</v>
      </c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</row>
    <row r="16" spans="1:28" ht="14.4" x14ac:dyDescent="0.3">
      <c r="A16" s="93" t="s">
        <v>42</v>
      </c>
      <c r="B16" s="12" t="s">
        <v>7</v>
      </c>
      <c r="C16" s="13">
        <v>6</v>
      </c>
      <c r="D16" s="94">
        <f>16941.21/1.21</f>
        <v>14001</v>
      </c>
      <c r="E16" s="95">
        <f t="shared" si="0"/>
        <v>84006</v>
      </c>
      <c r="F16" s="96"/>
      <c r="G16" s="97">
        <f t="shared" si="1"/>
        <v>0</v>
      </c>
      <c r="H16" s="96"/>
      <c r="I16" s="97">
        <f t="shared" si="2"/>
        <v>0</v>
      </c>
      <c r="J16" s="94">
        <v>21641.65</v>
      </c>
      <c r="K16" s="98">
        <f t="shared" si="3"/>
        <v>129849.90000000001</v>
      </c>
      <c r="L16" s="96">
        <v>17149.54</v>
      </c>
      <c r="M16" s="97">
        <f t="shared" si="4"/>
        <v>102897.24</v>
      </c>
      <c r="N16" s="96"/>
      <c r="O16" s="97">
        <f t="shared" si="5"/>
        <v>0</v>
      </c>
      <c r="P16" s="99">
        <f t="shared" si="6"/>
        <v>14001</v>
      </c>
      <c r="Q16" s="100">
        <f t="shared" si="7"/>
        <v>84006</v>
      </c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</row>
    <row r="17" spans="1:28" ht="14.4" x14ac:dyDescent="0.3">
      <c r="A17" s="93"/>
      <c r="B17" s="12"/>
      <c r="C17" s="13"/>
      <c r="D17" s="94"/>
      <c r="E17" s="95">
        <f t="shared" si="0"/>
        <v>0</v>
      </c>
      <c r="F17" s="96"/>
      <c r="G17" s="97">
        <f t="shared" si="1"/>
        <v>0</v>
      </c>
      <c r="H17" s="96"/>
      <c r="I17" s="97">
        <f t="shared" si="2"/>
        <v>0</v>
      </c>
      <c r="J17" s="94"/>
      <c r="K17" s="98">
        <f t="shared" si="3"/>
        <v>0</v>
      </c>
      <c r="L17" s="96"/>
      <c r="M17" s="97">
        <f t="shared" si="4"/>
        <v>0</v>
      </c>
      <c r="N17" s="96"/>
      <c r="O17" s="97">
        <f t="shared" si="5"/>
        <v>0</v>
      </c>
      <c r="P17" s="99">
        <f>MIN(D17,F17,J17,L17,N17)</f>
        <v>0</v>
      </c>
      <c r="Q17" s="100">
        <f t="shared" si="7"/>
        <v>0</v>
      </c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</row>
    <row r="18" spans="1:28" ht="14.4" x14ac:dyDescent="0.3">
      <c r="A18" s="109"/>
      <c r="B18" s="110"/>
      <c r="C18" s="25"/>
      <c r="D18" s="111"/>
      <c r="E18" s="112"/>
      <c r="F18" s="113"/>
      <c r="G18" s="114"/>
      <c r="H18" s="113"/>
      <c r="I18" s="114"/>
      <c r="J18" s="111"/>
      <c r="K18" s="115"/>
      <c r="L18" s="113"/>
      <c r="M18" s="114"/>
      <c r="N18" s="113"/>
      <c r="O18" s="114"/>
      <c r="P18" s="116"/>
      <c r="Q18" s="117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</row>
    <row r="19" spans="1:28" x14ac:dyDescent="0.3">
      <c r="A19" s="272" t="s">
        <v>66</v>
      </c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</row>
    <row r="20" spans="1:28" ht="14.4" x14ac:dyDescent="0.3">
      <c r="A20" s="32" t="s">
        <v>17</v>
      </c>
      <c r="B20" s="274"/>
      <c r="C20" s="275"/>
      <c r="D20" s="118"/>
      <c r="E20" s="119">
        <f>+SUM(E12:E18)</f>
        <v>1818986.099173554</v>
      </c>
      <c r="F20" s="33"/>
      <c r="G20" s="120">
        <f>+SUM(G12:G18)</f>
        <v>1885173.5537190083</v>
      </c>
      <c r="H20" s="161"/>
      <c r="I20" s="120">
        <f>+SUM(I12:I18)</f>
        <v>2253414.8760330579</v>
      </c>
      <c r="J20" s="33"/>
      <c r="K20" s="120">
        <f>+SUM(K12:K19)</f>
        <v>2360519.9</v>
      </c>
      <c r="L20" s="33"/>
      <c r="M20" s="120">
        <f>+SUM(M12:M18)</f>
        <v>2472463.365619835</v>
      </c>
      <c r="N20" s="33"/>
      <c r="O20" s="120">
        <f>+SUM(O12:O19)</f>
        <v>2082913.94</v>
      </c>
      <c r="P20" s="36"/>
      <c r="Q20" s="120">
        <f>+SUM(Q12:Q19)</f>
        <v>2112589.7099173553</v>
      </c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</row>
    <row r="21" spans="1:28" ht="15.75" customHeight="1" x14ac:dyDescent="0.3">
      <c r="A21" s="37"/>
      <c r="B21" s="38"/>
      <c r="C21" s="38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</row>
    <row r="22" spans="1:28" ht="15.75" customHeight="1" x14ac:dyDescent="0.3">
      <c r="A22" s="40" t="s">
        <v>18</v>
      </c>
      <c r="B22" s="276"/>
      <c r="C22" s="271"/>
      <c r="D22" s="122">
        <v>0</v>
      </c>
      <c r="E22" s="123">
        <f>+E20*D22</f>
        <v>0</v>
      </c>
      <c r="F22" s="41">
        <v>0</v>
      </c>
      <c r="G22" s="124">
        <f>+G20*F22</f>
        <v>0</v>
      </c>
      <c r="H22" s="162"/>
      <c r="I22" s="124">
        <f>+I20*H22</f>
        <v>0</v>
      </c>
      <c r="J22" s="41">
        <v>0</v>
      </c>
      <c r="K22" s="124">
        <f>+K20*J22</f>
        <v>0</v>
      </c>
      <c r="L22" s="41">
        <v>0</v>
      </c>
      <c r="M22" s="124">
        <f>+M20*L22</f>
        <v>0</v>
      </c>
      <c r="N22" s="41">
        <v>0</v>
      </c>
      <c r="O22" s="124">
        <f>+O20*N22</f>
        <v>0</v>
      </c>
      <c r="P22" s="125"/>
      <c r="Q22" s="124">
        <f>+Q20*P22</f>
        <v>0</v>
      </c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</row>
    <row r="23" spans="1:28" ht="15.75" customHeight="1" x14ac:dyDescent="0.3">
      <c r="A23" s="45" t="s">
        <v>19</v>
      </c>
      <c r="B23" s="277">
        <v>1</v>
      </c>
      <c r="C23" s="278"/>
      <c r="D23" s="126"/>
      <c r="E23" s="127"/>
      <c r="F23" s="126"/>
      <c r="G23" s="128"/>
      <c r="H23" s="163"/>
      <c r="I23" s="128"/>
      <c r="J23" s="126"/>
      <c r="K23" s="128"/>
      <c r="L23" s="126"/>
      <c r="M23" s="128"/>
      <c r="N23" s="126"/>
      <c r="O23" s="128"/>
      <c r="P23" s="129"/>
      <c r="Q23" s="128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</row>
    <row r="24" spans="1:28" ht="15.75" customHeight="1" x14ac:dyDescent="0.3">
      <c r="A24" s="45" t="s">
        <v>20</v>
      </c>
      <c r="B24" s="277"/>
      <c r="C24" s="278"/>
      <c r="D24" s="126"/>
      <c r="E24" s="127">
        <f>+E20-E22</f>
        <v>1818986.099173554</v>
      </c>
      <c r="F24" s="126"/>
      <c r="G24" s="128">
        <f>+G20-G22</f>
        <v>1885173.5537190083</v>
      </c>
      <c r="H24" s="163"/>
      <c r="I24" s="128">
        <f>+I20-I22</f>
        <v>2253414.8760330579</v>
      </c>
      <c r="J24" s="126"/>
      <c r="K24" s="128">
        <f>+K20-K22</f>
        <v>2360519.9</v>
      </c>
      <c r="L24" s="126"/>
      <c r="M24" s="128">
        <f>+M20-M22</f>
        <v>2472463.365619835</v>
      </c>
      <c r="N24" s="126"/>
      <c r="O24" s="128">
        <f>+O20-O22</f>
        <v>2082913.94</v>
      </c>
      <c r="P24" s="129"/>
      <c r="Q24" s="128">
        <f>+Q20-Q22</f>
        <v>2112589.7099173553</v>
      </c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</row>
    <row r="25" spans="1:28" ht="15.75" customHeight="1" x14ac:dyDescent="0.3">
      <c r="A25" s="45" t="s">
        <v>21</v>
      </c>
      <c r="B25" s="279">
        <v>0.21</v>
      </c>
      <c r="C25" s="278"/>
      <c r="D25" s="126"/>
      <c r="E25" s="127">
        <f>(+E24)*B25</f>
        <v>381987.0808264463</v>
      </c>
      <c r="F25" s="126"/>
      <c r="G25" s="128">
        <f>(+G24)*B25</f>
        <v>395886.44628099172</v>
      </c>
      <c r="H25" s="163"/>
      <c r="I25" s="128">
        <f>(+I24)*D25</f>
        <v>0</v>
      </c>
      <c r="J25" s="126"/>
      <c r="K25" s="128">
        <f>(+K24)*B25</f>
        <v>495709.17899999995</v>
      </c>
      <c r="L25" s="126"/>
      <c r="M25" s="128">
        <f>(+M24)*B25</f>
        <v>519217.30678016535</v>
      </c>
      <c r="N25" s="126"/>
      <c r="O25" s="128">
        <f>(+O24)*B25</f>
        <v>437411.92739999999</v>
      </c>
      <c r="P25" s="129"/>
      <c r="Q25" s="128">
        <f>Q24*B25</f>
        <v>443643.83908264461</v>
      </c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</row>
    <row r="26" spans="1:28" ht="15.75" customHeight="1" x14ac:dyDescent="0.3">
      <c r="A26" s="50" t="s">
        <v>22</v>
      </c>
      <c r="B26" s="51"/>
      <c r="C26" s="52"/>
      <c r="D26" s="130"/>
      <c r="E26" s="131"/>
      <c r="F26" s="130"/>
      <c r="G26" s="132"/>
      <c r="H26" s="164"/>
      <c r="I26" s="132"/>
      <c r="J26" s="130"/>
      <c r="K26" s="132">
        <v>23604.19</v>
      </c>
      <c r="L26" s="130"/>
      <c r="M26" s="132">
        <v>29694.97</v>
      </c>
      <c r="N26" s="130"/>
      <c r="O26" s="132"/>
      <c r="P26" s="133"/>
      <c r="Q26" s="132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</row>
    <row r="27" spans="1:28" ht="15.75" customHeight="1" x14ac:dyDescent="0.3">
      <c r="A27" s="57" t="s">
        <v>45</v>
      </c>
      <c r="B27" s="58"/>
      <c r="C27" s="59"/>
      <c r="D27" s="134"/>
      <c r="E27" s="135"/>
      <c r="F27" s="134"/>
      <c r="G27" s="136"/>
      <c r="H27" s="165"/>
      <c r="I27" s="136"/>
      <c r="J27" s="134"/>
      <c r="K27" s="136"/>
      <c r="L27" s="134"/>
      <c r="M27" s="136"/>
      <c r="N27" s="134"/>
      <c r="O27" s="136"/>
      <c r="P27" s="137"/>
      <c r="Q27" s="136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spans="1:28" ht="15.75" customHeight="1" x14ac:dyDescent="0.3">
      <c r="A28" s="37"/>
      <c r="B28" s="38"/>
      <c r="C28" s="38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</row>
    <row r="29" spans="1:28" ht="15.75" customHeight="1" x14ac:dyDescent="0.3">
      <c r="A29" s="66" t="s">
        <v>23</v>
      </c>
      <c r="B29" s="67"/>
      <c r="C29" s="68"/>
      <c r="D29" s="69"/>
      <c r="E29" s="138">
        <f>+E24+E25+E27+E26</f>
        <v>2200973.1800000002</v>
      </c>
      <c r="F29" s="139"/>
      <c r="G29" s="138">
        <f>+G24+G25+G27+G26</f>
        <v>2281060</v>
      </c>
      <c r="H29" s="166"/>
      <c r="I29" s="138">
        <f>+I24+I25+I27+I26</f>
        <v>2253414.8760330579</v>
      </c>
      <c r="J29" s="139"/>
      <c r="K29" s="138">
        <f>+K24+K25+K27+K26</f>
        <v>2879833.2689999999</v>
      </c>
      <c r="L29" s="139"/>
      <c r="M29" s="138">
        <f>+M24+M25+M27+M26</f>
        <v>3021375.6424000007</v>
      </c>
      <c r="N29" s="69"/>
      <c r="O29" s="72">
        <f>+O24+O25+O27+O26</f>
        <v>2520325.8673999999</v>
      </c>
      <c r="P29" s="69"/>
      <c r="Q29" s="138">
        <f>SUM(Q24:Q27)</f>
        <v>2556233.5490000001</v>
      </c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</row>
    <row r="30" spans="1:28" ht="15.75" customHeight="1" x14ac:dyDescent="0.3">
      <c r="A30" s="73" t="s">
        <v>24</v>
      </c>
      <c r="B30" s="280"/>
      <c r="C30" s="269"/>
      <c r="D30" s="266"/>
      <c r="E30" s="269"/>
      <c r="F30" s="266"/>
      <c r="G30" s="269"/>
      <c r="H30" s="167"/>
      <c r="I30" s="167"/>
      <c r="J30" s="266"/>
      <c r="K30" s="269"/>
      <c r="L30" s="289"/>
      <c r="M30" s="269"/>
      <c r="N30" s="289"/>
      <c r="O30" s="269"/>
      <c r="P30" s="308"/>
      <c r="Q30" s="269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</row>
    <row r="31" spans="1:28" ht="15.75" customHeight="1" x14ac:dyDescent="0.3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</row>
    <row r="32" spans="1:28" ht="15.75" customHeight="1" x14ac:dyDescent="0.3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5.75" customHeight="1" x14ac:dyDescent="0.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</row>
    <row r="34" spans="1:28" ht="15.75" customHeight="1" x14ac:dyDescent="0.3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</row>
    <row r="35" spans="1:28" ht="15.75" customHeight="1" x14ac:dyDescent="0.3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1:28" ht="15.75" customHeight="1" x14ac:dyDescent="0.3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</row>
    <row r="37" spans="1:28" ht="15.75" customHeight="1" x14ac:dyDescent="0.3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</row>
    <row r="38" spans="1:28" ht="15.75" customHeight="1" x14ac:dyDescent="0.3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</row>
    <row r="39" spans="1:28" ht="15.75" customHeight="1" x14ac:dyDescent="0.3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</row>
    <row r="40" spans="1:28" ht="15.75" customHeight="1" x14ac:dyDescent="0.3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</row>
    <row r="41" spans="1:28" ht="15.75" customHeight="1" x14ac:dyDescent="0.3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</row>
    <row r="42" spans="1:28" ht="15.75" customHeight="1" x14ac:dyDescent="0.3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</row>
    <row r="43" spans="1:28" ht="15.75" customHeight="1" x14ac:dyDescent="0.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</row>
    <row r="44" spans="1:28" ht="15.75" customHeight="1" x14ac:dyDescent="0.3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</row>
    <row r="45" spans="1:28" ht="15.75" customHeight="1" x14ac:dyDescent="0.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spans="1:28" ht="15.75" customHeight="1" x14ac:dyDescent="0.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</row>
    <row r="47" spans="1:28" ht="15.75" customHeight="1" x14ac:dyDescent="0.3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</row>
    <row r="48" spans="1:28" ht="15.75" customHeight="1" x14ac:dyDescent="0.3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</row>
    <row r="49" spans="1:28" ht="15.75" customHeight="1" x14ac:dyDescent="0.3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</row>
    <row r="50" spans="1:28" ht="15.75" customHeight="1" x14ac:dyDescent="0.3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</row>
    <row r="51" spans="1:28" ht="15.75" customHeight="1" x14ac:dyDescent="0.3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</row>
    <row r="52" spans="1:28" ht="15.75" customHeight="1" x14ac:dyDescent="0.3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</row>
    <row r="53" spans="1:28" ht="15.75" customHeight="1" x14ac:dyDescent="0.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</row>
    <row r="54" spans="1:28" ht="15.75" customHeight="1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</row>
    <row r="55" spans="1:28" ht="15.75" customHeight="1" x14ac:dyDescent="0.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spans="1:28" ht="15.75" customHeight="1" x14ac:dyDescent="0.3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</row>
    <row r="57" spans="1:28" ht="15.75" customHeight="1" x14ac:dyDescent="0.3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 spans="1:28" ht="15.75" customHeight="1" x14ac:dyDescent="0.3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 spans="1:28" ht="15.75" customHeight="1" x14ac:dyDescent="0.3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</row>
    <row r="60" spans="1:28" ht="15.75" customHeight="1" x14ac:dyDescent="0.3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 spans="1:28" ht="15.75" customHeight="1" x14ac:dyDescent="0.3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</row>
    <row r="62" spans="1:28" ht="15.75" customHeigh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</row>
    <row r="63" spans="1:28" ht="15.75" customHeigh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 spans="1:28" ht="15.75" customHeight="1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 spans="1:28" ht="15.75" customHeigh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 spans="1:28" ht="15.75" customHeight="1" x14ac:dyDescent="0.3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 spans="1:28" ht="15.75" customHeigh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 spans="1:28" ht="15.75" customHeight="1" x14ac:dyDescent="0.3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 spans="1:28" ht="15.75" customHeight="1" x14ac:dyDescent="0.3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 spans="1:28" ht="15.75" customHeight="1" x14ac:dyDescent="0.3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</row>
    <row r="71" spans="1:28" ht="15.75" customHeight="1" x14ac:dyDescent="0.3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 spans="1:28" ht="15.75" customHeight="1" x14ac:dyDescent="0.3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</row>
    <row r="73" spans="1:28" ht="15.75" customHeight="1" x14ac:dyDescent="0.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 spans="1:28" ht="15.75" customHeight="1" x14ac:dyDescent="0.3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 spans="1:28" ht="15.75" customHeight="1" x14ac:dyDescent="0.3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 spans="1:28" ht="15.75" customHeight="1" x14ac:dyDescent="0.3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 spans="1:28" ht="15.75" customHeight="1" x14ac:dyDescent="0.3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 spans="1:28" ht="15.75" customHeight="1" x14ac:dyDescent="0.3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 spans="1:28" ht="15.75" customHeight="1" x14ac:dyDescent="0.3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</row>
    <row r="80" spans="1:28" ht="15.75" customHeight="1" x14ac:dyDescent="0.3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 spans="1:28" ht="15.75" customHeight="1" x14ac:dyDescent="0.3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</row>
    <row r="82" spans="1:28" ht="15.75" customHeight="1" x14ac:dyDescent="0.3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 spans="1:28" ht="15.75" customHeight="1" x14ac:dyDescent="0.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 spans="1:28" ht="15.75" customHeight="1" x14ac:dyDescent="0.3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 spans="1:28" ht="15.75" customHeight="1" x14ac:dyDescent="0.3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</row>
    <row r="86" spans="1:28" ht="15.75" customHeight="1" x14ac:dyDescent="0.3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spans="1:28" ht="15.75" customHeight="1" x14ac:dyDescent="0.3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 spans="1:28" ht="15.75" customHeight="1" x14ac:dyDescent="0.3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</row>
    <row r="89" spans="1:28" ht="15.75" customHeight="1" x14ac:dyDescent="0.3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 spans="1:28" ht="15.75" customHeight="1" x14ac:dyDescent="0.3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</row>
    <row r="91" spans="1:28" ht="15.75" customHeight="1" x14ac:dyDescent="0.3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 spans="1:28" ht="15.75" customHeight="1" x14ac:dyDescent="0.3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5.75" customHeight="1" x14ac:dyDescent="0.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</row>
    <row r="94" spans="1:28" ht="15.75" customHeight="1" x14ac:dyDescent="0.3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 spans="1:28" ht="15.75" customHeight="1" x14ac:dyDescent="0.3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 spans="1:28" ht="15.75" customHeight="1" x14ac:dyDescent="0.3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 spans="1:28" ht="15.75" customHeight="1" x14ac:dyDescent="0.3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1:28" ht="15.75" customHeight="1" x14ac:dyDescent="0.3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</row>
    <row r="99" spans="1:28" ht="15.75" customHeight="1" x14ac:dyDescent="0.3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 spans="1:28" ht="15.75" customHeight="1" x14ac:dyDescent="0.3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</row>
    <row r="101" spans="1:28" ht="15.75" customHeight="1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 spans="1:28" ht="15.75" customHeight="1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 spans="1:28" ht="15.75" customHeight="1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 spans="1:28" ht="15.75" customHeight="1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 spans="1:28" ht="15.75" customHeight="1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 spans="1:28" ht="15.75" customHeight="1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 spans="1:28" ht="15.75" customHeight="1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spans="1:28" ht="15.75" customHeight="1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 spans="1:28" ht="15.75" customHeight="1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</row>
    <row r="110" spans="1:28" ht="15.75" customHeight="1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 spans="1:28" ht="15.75" customHeight="1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 spans="1:28" ht="15.75" customHeight="1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</row>
    <row r="113" spans="1:28" ht="15.75" customHeight="1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 spans="1:28" ht="15.75" customHeight="1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 spans="1:28" ht="15.75" customHeight="1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 spans="1:28" ht="15.75" customHeight="1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</row>
    <row r="117" spans="1:28" ht="15.75" customHeight="1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 spans="1:28" ht="15.75" customHeight="1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 spans="1:28" ht="15.75" customHeight="1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</row>
    <row r="120" spans="1:28" ht="15.75" customHeight="1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 spans="1:28" ht="15.75" customHeight="1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 spans="1:28" ht="15.75" customHeight="1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 spans="1:28" ht="15.75" customHeight="1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 spans="1:28" ht="15.75" customHeight="1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</row>
    <row r="125" spans="1:28" ht="15.75" customHeight="1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 spans="1:28" ht="15.75" customHeight="1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 spans="1:28" ht="15.75" customHeight="1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 spans="1:28" ht="15.75" customHeight="1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spans="1:28" ht="15.75" customHeight="1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 spans="1:28" ht="15.75" customHeight="1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 spans="1:28" ht="15.75" customHeight="1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</row>
    <row r="132" spans="1:28" ht="15.75" customHeight="1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 spans="1:28" ht="15.75" customHeight="1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 spans="1:28" ht="15.75" customHeight="1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</row>
    <row r="135" spans="1:28" ht="15.75" customHeight="1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 spans="1:28" ht="15.75" customHeight="1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 spans="1:28" ht="15.75" customHeight="1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 spans="1:28" ht="15.75" customHeight="1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spans="1:28" ht="15.75" customHeight="1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</row>
    <row r="140" spans="1:28" ht="15.75" customHeight="1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 spans="1:28" ht="15.75" customHeight="1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 spans="1:28" ht="15.75" customHeight="1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</row>
    <row r="143" spans="1:28" ht="15.75" customHeight="1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 spans="1:28" ht="15.75" customHeight="1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 spans="1:28" ht="15.75" customHeight="1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 spans="1:28" ht="15.75" customHeight="1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</row>
    <row r="147" spans="1:28" ht="15.75" customHeight="1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 spans="1:28" ht="15.75" customHeight="1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spans="1:28" ht="15.75" customHeight="1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 spans="1:28" ht="15.75" customHeight="1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 spans="1:28" ht="15.75" customHeight="1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 spans="1:28" ht="15.75" customHeight="1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5.75" customHeight="1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 spans="1:28" ht="15.75" customHeight="1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 spans="1:28" ht="15.75" customHeight="1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 spans="1:28" ht="15.75" customHeight="1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 spans="1:28" ht="15.75" customHeight="1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 spans="1:28" ht="15.75" customHeight="1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 spans="1:28" ht="15.75" customHeight="1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 spans="1:28" ht="15.75" customHeight="1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 spans="1:28" ht="15.75" customHeight="1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 spans="1:28" ht="15.75" customHeight="1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</row>
    <row r="163" spans="1:28" ht="15.75" customHeight="1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 spans="1:28" ht="15.75" customHeight="1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 spans="1:28" ht="15.75" customHeight="1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 spans="1:28" ht="15.75" customHeight="1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 spans="1:28" ht="15.75" customHeight="1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 spans="1:28" ht="15.75" customHeight="1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 spans="1:28" ht="15.75" customHeight="1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spans="1:28" ht="15.75" customHeight="1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 spans="1:28" ht="15.75" customHeight="1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 spans="1:28" ht="15.75" customHeight="1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 spans="1:28" ht="15.75" customHeight="1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 spans="1:28" ht="15.75" customHeight="1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 spans="1:28" ht="15.75" customHeight="1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 spans="1:28" ht="15.75" customHeight="1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 spans="1:28" ht="15.75" customHeight="1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 spans="1:28" ht="15.75" customHeight="1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 spans="1:28" ht="15.75" customHeight="1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spans="1:28" ht="15.75" customHeight="1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 spans="1:28" ht="15.75" customHeight="1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 spans="1:28" ht="15.75" customHeight="1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 spans="1:28" ht="15.75" customHeight="1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 spans="1:28" ht="15.75" customHeight="1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 spans="1:28" ht="15.75" customHeight="1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</row>
    <row r="186" spans="1:28" ht="15.75" customHeight="1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 spans="1:28" ht="15.75" customHeight="1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 spans="1:28" ht="15.75" customHeight="1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 spans="1:28" ht="15.75" customHeight="1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 spans="1:28" ht="15.75" customHeight="1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spans="1:28" ht="15.75" customHeight="1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 spans="1:28" ht="15.75" customHeight="1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 spans="1:28" ht="15.75" customHeight="1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 spans="1:28" ht="15.75" customHeight="1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 spans="1:28" ht="15.75" customHeight="1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 spans="1:28" ht="15.75" customHeight="1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 spans="1:28" ht="15.75" customHeight="1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 spans="1:28" ht="15.75" customHeight="1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 spans="1:28" ht="15.75" customHeight="1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 spans="1:28" ht="15.75" customHeight="1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spans="1:28" ht="15.75" customHeight="1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 spans="1:28" ht="15.75" customHeight="1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 spans="1:28" ht="15.75" customHeight="1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 spans="1:28" ht="15.75" customHeight="1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 spans="1:28" ht="15.75" customHeight="1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 spans="1:28" ht="15.75" customHeight="1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 spans="1:28" ht="15.75" customHeight="1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 spans="1:28" ht="15.75" customHeight="1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</row>
    <row r="209" spans="1:28" ht="15.75" customHeight="1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 spans="1:28" ht="15.75" customHeight="1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spans="1:28" ht="15.75" customHeight="1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 spans="1:28" ht="15.75" customHeight="1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5.75" customHeight="1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 spans="1:28" ht="15.75" customHeight="1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 spans="1:28" ht="15.75" customHeight="1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 spans="1:28" ht="15.75" customHeight="1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 spans="1:28" ht="15.75" customHeight="1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 spans="1:28" ht="15.75" customHeight="1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 spans="1:28" ht="15.75" customHeight="1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 spans="1:28" ht="15.75" customHeight="1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 spans="1:28" ht="15.75" customHeight="1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1:28" ht="15.75" customHeight="1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 spans="1:28" ht="15.75" customHeight="1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 spans="1:28" ht="15.75" customHeight="1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 spans="1:28" ht="15.75" customHeight="1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 spans="1:28" ht="15.75" customHeight="1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 spans="1:28" ht="15.75" customHeight="1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 spans="1:28" ht="15.75" customHeight="1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 spans="1:28" ht="15.75" customHeight="1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 spans="1:28" ht="15.75" customHeight="1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 spans="1:28" ht="15.75" customHeight="1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 spans="1:28" ht="15.75" customHeight="1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 spans="1:28" ht="15.75" customHeight="1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 spans="1:28" ht="15.75" customHeight="1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</row>
    <row r="235" spans="1:28" ht="15.75" customHeight="1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</row>
    <row r="236" spans="1:28" ht="15.75" customHeight="1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</row>
    <row r="237" spans="1:28" ht="15.75" customHeight="1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</row>
    <row r="238" spans="1:28" ht="15.75" customHeight="1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</row>
    <row r="239" spans="1:28" ht="15.75" customHeight="1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</row>
    <row r="240" spans="1:28" ht="15.75" customHeight="1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</row>
    <row r="241" spans="1:28" ht="15.75" customHeight="1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 spans="1:28" ht="15.75" customHeight="1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</row>
    <row r="243" spans="1:28" ht="15.75" customHeight="1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</row>
    <row r="244" spans="1:28" ht="15.75" customHeight="1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</row>
    <row r="245" spans="1:28" ht="15.75" customHeight="1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 spans="1:28" ht="15.75" customHeight="1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</row>
    <row r="247" spans="1:28" ht="15.75" customHeight="1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</row>
    <row r="248" spans="1:28" ht="15.75" customHeight="1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</row>
    <row r="249" spans="1:28" ht="15.75" customHeight="1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 spans="1:28" ht="15.75" customHeight="1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</row>
    <row r="251" spans="1:28" ht="15.75" customHeight="1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 spans="1:28" ht="15.75" customHeight="1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</row>
    <row r="253" spans="1:28" ht="15.75" customHeight="1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</row>
    <row r="254" spans="1:28" ht="15.75" customHeight="1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</row>
    <row r="255" spans="1:28" ht="15.75" customHeight="1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</row>
    <row r="256" spans="1:28" ht="15.75" customHeight="1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</row>
    <row r="257" spans="1:28" ht="15.75" customHeight="1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</row>
    <row r="258" spans="1:28" ht="15.75" customHeight="1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</row>
    <row r="259" spans="1:28" ht="15.75" customHeight="1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</row>
    <row r="260" spans="1:28" ht="15.75" customHeight="1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</row>
    <row r="261" spans="1:28" ht="15.75" customHeight="1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</row>
    <row r="262" spans="1:28" ht="15.75" customHeight="1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</row>
    <row r="263" spans="1:28" ht="15.75" customHeight="1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</row>
    <row r="264" spans="1:28" ht="15.75" customHeight="1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</row>
    <row r="265" spans="1:28" ht="15.75" customHeight="1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</row>
    <row r="266" spans="1:28" ht="15.75" customHeight="1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</row>
    <row r="267" spans="1:28" ht="15.75" customHeight="1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</row>
    <row r="268" spans="1:28" ht="15.75" customHeight="1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</row>
    <row r="269" spans="1:28" ht="15.75" customHeight="1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</row>
    <row r="270" spans="1:28" ht="15.75" customHeight="1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</row>
    <row r="271" spans="1:28" ht="15.75" customHeight="1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</row>
    <row r="272" spans="1:28" ht="15.75" customHeight="1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5.75" customHeight="1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</row>
    <row r="274" spans="1:28" ht="15.75" customHeight="1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</row>
    <row r="275" spans="1:28" ht="15.75" customHeight="1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</row>
    <row r="276" spans="1:28" ht="15.75" customHeight="1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</row>
    <row r="277" spans="1:28" ht="15.75" customHeight="1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</row>
    <row r="278" spans="1:28" ht="15.75" customHeight="1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</row>
    <row r="279" spans="1:28" ht="15.75" customHeight="1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</row>
    <row r="280" spans="1:28" ht="15.75" customHeight="1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</row>
    <row r="281" spans="1:28" ht="15.75" customHeight="1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 spans="1:28" ht="15.75" customHeight="1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</row>
    <row r="283" spans="1:28" ht="15.75" customHeight="1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 spans="1:28" ht="15.75" customHeight="1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</row>
    <row r="285" spans="1:28" ht="15.75" customHeight="1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</row>
    <row r="286" spans="1:28" ht="15.75" customHeight="1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</row>
    <row r="287" spans="1:28" ht="15.75" customHeight="1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</row>
    <row r="288" spans="1:28" ht="15.75" customHeight="1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</row>
    <row r="289" spans="1:28" ht="15.75" customHeight="1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</row>
    <row r="290" spans="1:28" ht="15.75" customHeight="1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</row>
    <row r="291" spans="1:28" ht="15.75" customHeight="1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</row>
    <row r="292" spans="1:28" ht="15.75" customHeight="1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</row>
    <row r="293" spans="1:28" ht="15.75" customHeight="1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</row>
    <row r="294" spans="1:28" ht="15.75" customHeight="1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</row>
    <row r="295" spans="1:28" ht="15.75" customHeight="1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</row>
    <row r="296" spans="1:28" ht="15.75" customHeight="1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</row>
    <row r="297" spans="1:28" ht="15.75" customHeight="1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 spans="1:28" ht="15.75" customHeight="1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</row>
    <row r="299" spans="1:28" ht="15.75" customHeight="1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</row>
    <row r="300" spans="1:28" ht="15.75" customHeight="1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</row>
    <row r="301" spans="1:28" ht="15.75" customHeight="1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</row>
    <row r="302" spans="1:28" ht="15.75" customHeight="1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</row>
    <row r="303" spans="1:28" ht="15.75" customHeight="1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</row>
    <row r="304" spans="1:28" ht="15.75" customHeight="1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</row>
    <row r="305" spans="1:28" ht="15.75" customHeight="1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</row>
    <row r="306" spans="1:28" ht="15.75" customHeight="1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</row>
    <row r="307" spans="1:28" ht="15.75" customHeight="1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</row>
    <row r="308" spans="1:28" ht="15.75" customHeight="1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</row>
    <row r="309" spans="1:28" ht="15.75" customHeight="1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</row>
    <row r="310" spans="1:28" ht="15.75" customHeight="1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</row>
    <row r="311" spans="1:28" ht="15.75" customHeight="1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</row>
    <row r="312" spans="1:28" ht="15.75" customHeight="1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</row>
    <row r="313" spans="1:28" ht="15.75" customHeight="1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</row>
    <row r="314" spans="1:28" ht="15.75" customHeight="1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</row>
    <row r="315" spans="1:28" ht="15.75" customHeight="1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</row>
    <row r="316" spans="1:28" ht="15.75" customHeight="1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</row>
    <row r="317" spans="1:28" ht="15.75" customHeight="1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</row>
    <row r="318" spans="1:28" ht="15.75" customHeight="1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</row>
    <row r="319" spans="1:28" ht="15.75" customHeight="1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</row>
    <row r="320" spans="1:28" ht="15.75" customHeight="1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</row>
    <row r="321" spans="1:28" ht="15.75" customHeight="1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</row>
    <row r="322" spans="1:28" ht="15.75" customHeight="1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</row>
    <row r="323" spans="1:28" ht="15.75" customHeight="1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</row>
    <row r="324" spans="1:28" ht="15.75" customHeight="1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</row>
    <row r="325" spans="1:28" ht="15.75" customHeight="1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</row>
    <row r="326" spans="1:28" ht="15.75" customHeight="1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</row>
    <row r="327" spans="1:28" ht="15.75" customHeight="1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</row>
    <row r="328" spans="1:28" ht="15.75" customHeight="1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</row>
    <row r="329" spans="1:28" ht="15.75" customHeight="1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</row>
    <row r="330" spans="1:28" ht="15.75" customHeight="1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</row>
    <row r="331" spans="1:28" ht="15.75" customHeight="1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</row>
    <row r="332" spans="1:28" ht="15.75" customHeight="1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5.75" customHeight="1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</row>
    <row r="334" spans="1:28" ht="15.75" customHeight="1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</row>
    <row r="335" spans="1:28" ht="15.75" customHeight="1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</row>
    <row r="336" spans="1:28" ht="15.75" customHeight="1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</row>
    <row r="337" spans="1:28" ht="15.75" customHeight="1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</row>
    <row r="338" spans="1:28" ht="15.75" customHeight="1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</row>
    <row r="339" spans="1:28" ht="15.75" customHeight="1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</row>
    <row r="340" spans="1:28" ht="15.75" customHeight="1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</row>
    <row r="341" spans="1:28" ht="15.75" customHeight="1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</row>
    <row r="342" spans="1:28" ht="15.75" customHeight="1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</row>
    <row r="343" spans="1:28" ht="15.75" customHeight="1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</row>
    <row r="344" spans="1:28" ht="15.75" customHeight="1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</row>
    <row r="345" spans="1:28" ht="15.75" customHeight="1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</row>
    <row r="346" spans="1:28" ht="15.75" customHeight="1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</row>
    <row r="347" spans="1:28" ht="15.75" customHeight="1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</row>
    <row r="348" spans="1:28" ht="15.75" customHeight="1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</row>
    <row r="349" spans="1:28" ht="15.75" customHeight="1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</row>
    <row r="350" spans="1:28" ht="15.75" customHeight="1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</row>
    <row r="351" spans="1:28" ht="15.75" customHeight="1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</row>
    <row r="352" spans="1:28" ht="15.75" customHeight="1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</row>
    <row r="353" spans="1:28" ht="15.75" customHeight="1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</row>
    <row r="354" spans="1:28" ht="15.75" customHeight="1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</row>
    <row r="355" spans="1:28" ht="15.75" customHeight="1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</row>
    <row r="356" spans="1:28" ht="15.75" customHeight="1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</row>
    <row r="357" spans="1:28" ht="15.75" customHeight="1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</row>
    <row r="358" spans="1:28" ht="15.75" customHeight="1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</row>
    <row r="359" spans="1:28" ht="15.75" customHeight="1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</row>
    <row r="360" spans="1:28" ht="15.75" customHeight="1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</row>
    <row r="361" spans="1:28" ht="15.75" customHeight="1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</row>
    <row r="362" spans="1:28" ht="15.75" customHeight="1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</row>
    <row r="363" spans="1:28" ht="15.75" customHeight="1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</row>
    <row r="364" spans="1:28" ht="15.75" customHeight="1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</row>
    <row r="365" spans="1:28" ht="15.75" customHeight="1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</row>
    <row r="366" spans="1:28" ht="15.75" customHeight="1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</row>
    <row r="367" spans="1:28" ht="15.75" customHeight="1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</row>
    <row r="368" spans="1:28" ht="15.75" customHeight="1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</row>
    <row r="369" spans="1:28" ht="15.75" customHeight="1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</row>
    <row r="370" spans="1:28" ht="15.75" customHeight="1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</row>
    <row r="371" spans="1:28" ht="15.75" customHeight="1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</row>
    <row r="372" spans="1:28" ht="15.75" customHeight="1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</row>
    <row r="373" spans="1:28" ht="15.75" customHeight="1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</row>
    <row r="374" spans="1:28" ht="15.75" customHeight="1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</row>
    <row r="375" spans="1:28" ht="15.75" customHeight="1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</row>
    <row r="376" spans="1:28" ht="15.75" customHeight="1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</row>
    <row r="377" spans="1:28" ht="15.75" customHeight="1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</row>
    <row r="378" spans="1:28" ht="15.75" customHeight="1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</row>
    <row r="379" spans="1:28" ht="15.75" customHeight="1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</row>
    <row r="380" spans="1:28" ht="15.75" customHeight="1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</row>
    <row r="381" spans="1:28" ht="15.75" customHeight="1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</row>
    <row r="382" spans="1:28" ht="15.75" customHeight="1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</row>
    <row r="383" spans="1:28" ht="15.75" customHeight="1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</row>
    <row r="384" spans="1:28" ht="15.75" customHeight="1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</row>
    <row r="385" spans="1:28" ht="15.75" customHeight="1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</row>
    <row r="386" spans="1:28" ht="15.75" customHeight="1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</row>
    <row r="387" spans="1:28" ht="15.75" customHeight="1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</row>
    <row r="388" spans="1:28" ht="15.75" customHeight="1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</row>
    <row r="389" spans="1:28" ht="15.75" customHeight="1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</row>
    <row r="390" spans="1:28" ht="15.75" customHeight="1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</row>
    <row r="391" spans="1:28" ht="15.75" customHeight="1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</row>
    <row r="392" spans="1:28" ht="15.75" customHeight="1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1:28" ht="15.75" customHeight="1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</row>
    <row r="394" spans="1:28" ht="15.75" customHeight="1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</row>
    <row r="395" spans="1:28" ht="15.75" customHeight="1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</row>
    <row r="396" spans="1:28" ht="15.75" customHeight="1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</row>
    <row r="397" spans="1:28" ht="15.75" customHeight="1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</row>
    <row r="398" spans="1:28" ht="15.75" customHeight="1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</row>
    <row r="399" spans="1:28" ht="15.75" customHeight="1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</row>
    <row r="400" spans="1:28" ht="15.75" customHeight="1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</row>
    <row r="401" spans="1:28" ht="15.75" customHeight="1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</row>
    <row r="402" spans="1:28" ht="15.75" customHeight="1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</row>
    <row r="403" spans="1:28" ht="15.75" customHeight="1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</row>
    <row r="404" spans="1:28" ht="15.75" customHeight="1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</row>
    <row r="405" spans="1:28" ht="15.75" customHeight="1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</row>
    <row r="406" spans="1:28" ht="15.75" customHeight="1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</row>
    <row r="407" spans="1:28" ht="15.75" customHeight="1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</row>
    <row r="408" spans="1:28" ht="15.75" customHeight="1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</row>
    <row r="409" spans="1:28" ht="15.75" customHeight="1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</row>
    <row r="410" spans="1:28" ht="15.75" customHeight="1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</row>
    <row r="411" spans="1:28" ht="15.75" customHeight="1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</row>
    <row r="412" spans="1:28" ht="15.75" customHeight="1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</row>
    <row r="413" spans="1:28" ht="15.75" customHeight="1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</row>
    <row r="414" spans="1:28" ht="15.75" customHeight="1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</row>
    <row r="415" spans="1:28" ht="15.75" customHeight="1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</row>
    <row r="416" spans="1:28" ht="15.75" customHeight="1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</row>
    <row r="417" spans="1:28" ht="15.75" customHeight="1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</row>
    <row r="418" spans="1:28" ht="15.75" customHeight="1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</row>
    <row r="419" spans="1:28" ht="15.75" customHeight="1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</row>
    <row r="420" spans="1:28" ht="15.75" customHeight="1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</row>
    <row r="421" spans="1:28" ht="15.75" customHeight="1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</row>
    <row r="422" spans="1:28" ht="15.75" customHeight="1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</row>
    <row r="423" spans="1:28" ht="15.75" customHeight="1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</row>
    <row r="424" spans="1:28" ht="15.75" customHeight="1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</row>
    <row r="425" spans="1:28" ht="15.75" customHeight="1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</row>
    <row r="426" spans="1:28" ht="15.75" customHeight="1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</row>
    <row r="427" spans="1:28" ht="15.75" customHeight="1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</row>
    <row r="428" spans="1:28" ht="15.75" customHeight="1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</row>
    <row r="429" spans="1:28" ht="15.75" customHeight="1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</row>
    <row r="430" spans="1:28" ht="15.75" customHeight="1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</row>
    <row r="431" spans="1:28" ht="15.75" customHeight="1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</row>
    <row r="432" spans="1:28" ht="15.75" customHeight="1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</row>
    <row r="433" spans="1:28" ht="15.75" customHeight="1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</row>
    <row r="434" spans="1:28" ht="15.75" customHeight="1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</row>
    <row r="435" spans="1:28" ht="15.75" customHeight="1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</row>
    <row r="436" spans="1:28" ht="15.75" customHeight="1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</row>
    <row r="437" spans="1:28" ht="15.75" customHeight="1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</row>
    <row r="438" spans="1:28" ht="15.75" customHeight="1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</row>
    <row r="439" spans="1:28" ht="15.75" customHeight="1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</row>
    <row r="440" spans="1:28" ht="15.75" customHeight="1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</row>
    <row r="441" spans="1:28" ht="15.75" customHeight="1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</row>
    <row r="442" spans="1:28" ht="15.75" customHeight="1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</row>
    <row r="443" spans="1:28" ht="15.75" customHeight="1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</row>
    <row r="444" spans="1:28" ht="15.75" customHeight="1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</row>
    <row r="445" spans="1:28" ht="15.75" customHeight="1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</row>
    <row r="446" spans="1:28" ht="15.75" customHeight="1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</row>
    <row r="447" spans="1:28" ht="15.75" customHeight="1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</row>
    <row r="448" spans="1:28" ht="15.75" customHeight="1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</row>
    <row r="449" spans="1:28" ht="15.75" customHeight="1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</row>
    <row r="450" spans="1:28" ht="15.75" customHeight="1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</row>
    <row r="451" spans="1:28" ht="15.75" customHeight="1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</row>
    <row r="452" spans="1:28" ht="15.75" customHeight="1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spans="1:28" ht="15.75" customHeight="1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</row>
    <row r="454" spans="1:28" ht="15.75" customHeight="1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</row>
    <row r="455" spans="1:28" ht="15.75" customHeight="1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</row>
    <row r="456" spans="1:28" ht="15.75" customHeight="1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</row>
    <row r="457" spans="1:28" ht="15.75" customHeight="1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</row>
    <row r="458" spans="1:28" ht="15.75" customHeight="1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</row>
    <row r="459" spans="1:28" ht="15.75" customHeight="1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</row>
    <row r="460" spans="1:28" ht="15.75" customHeight="1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</row>
    <row r="461" spans="1:28" ht="15.75" customHeight="1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</row>
    <row r="462" spans="1:28" ht="15.75" customHeight="1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</row>
    <row r="463" spans="1:28" ht="15.75" customHeight="1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</row>
    <row r="464" spans="1:28" ht="15.75" customHeight="1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</row>
    <row r="465" spans="1:28" ht="15.75" customHeight="1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</row>
    <row r="466" spans="1:28" ht="15.75" customHeight="1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</row>
    <row r="467" spans="1:28" ht="15.75" customHeight="1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</row>
    <row r="468" spans="1:28" ht="15.75" customHeight="1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</row>
    <row r="469" spans="1:28" ht="15.75" customHeight="1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</row>
    <row r="470" spans="1:28" ht="15.75" customHeight="1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</row>
    <row r="471" spans="1:28" ht="15.75" customHeight="1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</row>
    <row r="472" spans="1:28" ht="15.75" customHeight="1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</row>
    <row r="473" spans="1:28" ht="15.75" customHeight="1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</row>
    <row r="474" spans="1:28" ht="15.75" customHeight="1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</row>
    <row r="475" spans="1:28" ht="15.75" customHeight="1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</row>
    <row r="476" spans="1:28" ht="15.75" customHeight="1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</row>
    <row r="477" spans="1:28" ht="15.75" customHeight="1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</row>
    <row r="478" spans="1:28" ht="15.75" customHeight="1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</row>
    <row r="479" spans="1:28" ht="15.75" customHeight="1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</row>
    <row r="480" spans="1:28" ht="15.75" customHeight="1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</row>
    <row r="481" spans="1:28" ht="15.75" customHeight="1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</row>
    <row r="482" spans="1:28" ht="15.75" customHeight="1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</row>
    <row r="483" spans="1:28" ht="15.75" customHeight="1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</row>
    <row r="484" spans="1:28" ht="15.75" customHeight="1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</row>
    <row r="485" spans="1:28" ht="15.75" customHeight="1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</row>
    <row r="486" spans="1:28" ht="15.75" customHeight="1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</row>
    <row r="487" spans="1:28" ht="15.75" customHeight="1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</row>
    <row r="488" spans="1:28" ht="15.75" customHeight="1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</row>
    <row r="489" spans="1:28" ht="15.75" customHeight="1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</row>
    <row r="490" spans="1:28" ht="15.75" customHeight="1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</row>
    <row r="491" spans="1:28" ht="15.75" customHeight="1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</row>
    <row r="492" spans="1:28" ht="15.75" customHeight="1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</row>
    <row r="493" spans="1:28" ht="15.75" customHeight="1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</row>
    <row r="494" spans="1:28" ht="15.75" customHeight="1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</row>
    <row r="495" spans="1:28" ht="15.75" customHeight="1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</row>
    <row r="496" spans="1:28" ht="15.75" customHeight="1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</row>
    <row r="497" spans="1:28" ht="15.75" customHeight="1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</row>
    <row r="498" spans="1:28" ht="15.75" customHeight="1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</row>
    <row r="499" spans="1:28" ht="15.75" customHeight="1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</row>
    <row r="500" spans="1:28" ht="15.75" customHeight="1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</row>
    <row r="501" spans="1:28" ht="15.75" customHeight="1" x14ac:dyDescent="0.3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</row>
    <row r="502" spans="1:28" ht="15.75" customHeight="1" x14ac:dyDescent="0.3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</row>
    <row r="503" spans="1:28" ht="15.75" customHeight="1" x14ac:dyDescent="0.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</row>
    <row r="504" spans="1:28" ht="15.75" customHeight="1" x14ac:dyDescent="0.3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</row>
    <row r="505" spans="1:28" ht="15.75" customHeight="1" x14ac:dyDescent="0.3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</row>
    <row r="506" spans="1:28" ht="15.75" customHeight="1" x14ac:dyDescent="0.3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</row>
    <row r="507" spans="1:28" ht="15.75" customHeight="1" x14ac:dyDescent="0.3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</row>
    <row r="508" spans="1:28" ht="15.75" customHeight="1" x14ac:dyDescent="0.3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</row>
    <row r="509" spans="1:28" ht="15.75" customHeight="1" x14ac:dyDescent="0.3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</row>
    <row r="510" spans="1:28" ht="15.75" customHeight="1" x14ac:dyDescent="0.3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</row>
    <row r="511" spans="1:28" ht="15.75" customHeight="1" x14ac:dyDescent="0.3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</row>
    <row r="512" spans="1:28" ht="15.75" customHeight="1" x14ac:dyDescent="0.3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 spans="1:28" ht="15.75" customHeight="1" x14ac:dyDescent="0.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</row>
    <row r="514" spans="1:28" ht="15.75" customHeight="1" x14ac:dyDescent="0.3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</row>
    <row r="515" spans="1:28" ht="15.75" customHeight="1" x14ac:dyDescent="0.3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</row>
    <row r="516" spans="1:28" ht="15.75" customHeight="1" x14ac:dyDescent="0.3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</row>
    <row r="517" spans="1:28" ht="15.75" customHeight="1" x14ac:dyDescent="0.3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</row>
    <row r="518" spans="1:28" ht="15.75" customHeight="1" x14ac:dyDescent="0.3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</row>
    <row r="519" spans="1:28" ht="15.75" customHeight="1" x14ac:dyDescent="0.3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</row>
    <row r="520" spans="1:28" ht="15.75" customHeight="1" x14ac:dyDescent="0.3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</row>
    <row r="521" spans="1:28" ht="15.75" customHeight="1" x14ac:dyDescent="0.3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</row>
    <row r="522" spans="1:28" ht="15.75" customHeight="1" x14ac:dyDescent="0.3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</row>
    <row r="523" spans="1:28" ht="15.75" customHeight="1" x14ac:dyDescent="0.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</row>
    <row r="524" spans="1:28" ht="15.75" customHeight="1" x14ac:dyDescent="0.3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</row>
    <row r="525" spans="1:28" ht="15.75" customHeight="1" x14ac:dyDescent="0.3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</row>
    <row r="526" spans="1:28" ht="15.75" customHeight="1" x14ac:dyDescent="0.3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</row>
    <row r="527" spans="1:28" ht="15.75" customHeight="1" x14ac:dyDescent="0.3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</row>
    <row r="528" spans="1:28" ht="15.75" customHeight="1" x14ac:dyDescent="0.3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</row>
    <row r="529" spans="1:28" ht="15.75" customHeight="1" x14ac:dyDescent="0.3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</row>
    <row r="530" spans="1:28" ht="15.75" customHeight="1" x14ac:dyDescent="0.3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</row>
    <row r="531" spans="1:28" ht="15.75" customHeight="1" x14ac:dyDescent="0.3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</row>
    <row r="532" spans="1:28" ht="15.75" customHeight="1" x14ac:dyDescent="0.3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</row>
    <row r="533" spans="1:28" ht="15.75" customHeight="1" x14ac:dyDescent="0.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</row>
    <row r="534" spans="1:28" ht="15.75" customHeight="1" x14ac:dyDescent="0.3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</row>
    <row r="535" spans="1:28" ht="15.75" customHeight="1" x14ac:dyDescent="0.3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</row>
    <row r="536" spans="1:28" ht="15.75" customHeight="1" x14ac:dyDescent="0.3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</row>
    <row r="537" spans="1:28" ht="15.75" customHeight="1" x14ac:dyDescent="0.3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</row>
    <row r="538" spans="1:28" ht="15.75" customHeight="1" x14ac:dyDescent="0.3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</row>
    <row r="539" spans="1:28" ht="15.75" customHeight="1" x14ac:dyDescent="0.3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</row>
    <row r="540" spans="1:28" ht="15.75" customHeight="1" x14ac:dyDescent="0.3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</row>
    <row r="541" spans="1:28" ht="15.75" customHeight="1" x14ac:dyDescent="0.3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</row>
    <row r="542" spans="1:28" ht="15.75" customHeight="1" x14ac:dyDescent="0.3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</row>
    <row r="543" spans="1:28" ht="15.75" customHeight="1" x14ac:dyDescent="0.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</row>
    <row r="544" spans="1:28" ht="15.75" customHeight="1" x14ac:dyDescent="0.3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</row>
    <row r="545" spans="1:28" ht="15.75" customHeight="1" x14ac:dyDescent="0.3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</row>
    <row r="546" spans="1:28" ht="15.75" customHeight="1" x14ac:dyDescent="0.3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</row>
    <row r="547" spans="1:28" ht="15.75" customHeight="1" x14ac:dyDescent="0.3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</row>
    <row r="548" spans="1:28" ht="15.75" customHeight="1" x14ac:dyDescent="0.3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</row>
    <row r="549" spans="1:28" ht="15.75" customHeight="1" x14ac:dyDescent="0.3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</row>
    <row r="550" spans="1:28" ht="15.75" customHeight="1" x14ac:dyDescent="0.3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</row>
    <row r="551" spans="1:28" ht="15.75" customHeight="1" x14ac:dyDescent="0.3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</row>
    <row r="552" spans="1:28" ht="15.75" customHeight="1" x14ac:dyDescent="0.3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</row>
    <row r="553" spans="1:28" ht="15.75" customHeight="1" x14ac:dyDescent="0.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</row>
    <row r="554" spans="1:28" ht="15.75" customHeight="1" x14ac:dyDescent="0.3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</row>
    <row r="555" spans="1:28" ht="15.75" customHeight="1" x14ac:dyDescent="0.3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</row>
    <row r="556" spans="1:28" ht="15.75" customHeight="1" x14ac:dyDescent="0.3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</row>
    <row r="557" spans="1:28" ht="15.75" customHeight="1" x14ac:dyDescent="0.3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</row>
    <row r="558" spans="1:28" ht="15.75" customHeight="1" x14ac:dyDescent="0.3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</row>
    <row r="559" spans="1:28" ht="15.75" customHeight="1" x14ac:dyDescent="0.3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</row>
    <row r="560" spans="1:28" ht="15.75" customHeight="1" x14ac:dyDescent="0.3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</row>
    <row r="561" spans="1:28" ht="15.75" customHeight="1" x14ac:dyDescent="0.3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</row>
    <row r="562" spans="1:28" ht="15.75" customHeight="1" x14ac:dyDescent="0.3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</row>
    <row r="563" spans="1:28" ht="15.75" customHeight="1" x14ac:dyDescent="0.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</row>
    <row r="564" spans="1:28" ht="15.75" customHeight="1" x14ac:dyDescent="0.3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</row>
    <row r="565" spans="1:28" ht="15.75" customHeight="1" x14ac:dyDescent="0.3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</row>
    <row r="566" spans="1:28" ht="15.75" customHeight="1" x14ac:dyDescent="0.3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</row>
    <row r="567" spans="1:28" ht="15.75" customHeight="1" x14ac:dyDescent="0.3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</row>
    <row r="568" spans="1:28" ht="15.75" customHeight="1" x14ac:dyDescent="0.3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</row>
    <row r="569" spans="1:28" ht="15.75" customHeight="1" x14ac:dyDescent="0.3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</row>
    <row r="570" spans="1:28" ht="15.75" customHeight="1" x14ac:dyDescent="0.3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</row>
    <row r="571" spans="1:28" ht="15.75" customHeight="1" x14ac:dyDescent="0.3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</row>
    <row r="572" spans="1:28" ht="15.75" customHeight="1" x14ac:dyDescent="0.3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 spans="1:28" ht="15.75" customHeight="1" x14ac:dyDescent="0.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</row>
    <row r="574" spans="1:28" ht="15.75" customHeight="1" x14ac:dyDescent="0.3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</row>
    <row r="575" spans="1:28" ht="15.75" customHeight="1" x14ac:dyDescent="0.3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</row>
    <row r="576" spans="1:28" ht="15.75" customHeight="1" x14ac:dyDescent="0.3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</row>
    <row r="577" spans="1:28" ht="15.75" customHeight="1" x14ac:dyDescent="0.3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</row>
    <row r="578" spans="1:28" ht="15.75" customHeight="1" x14ac:dyDescent="0.3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</row>
    <row r="579" spans="1:28" ht="15.75" customHeight="1" x14ac:dyDescent="0.3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</row>
    <row r="580" spans="1:28" ht="15.75" customHeight="1" x14ac:dyDescent="0.3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</row>
    <row r="581" spans="1:28" ht="15.75" customHeight="1" x14ac:dyDescent="0.3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</row>
    <row r="582" spans="1:28" ht="15.75" customHeight="1" x14ac:dyDescent="0.3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</row>
    <row r="583" spans="1:28" ht="15.75" customHeight="1" x14ac:dyDescent="0.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</row>
    <row r="584" spans="1:28" ht="15.75" customHeight="1" x14ac:dyDescent="0.3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</row>
    <row r="585" spans="1:28" ht="15.75" customHeight="1" x14ac:dyDescent="0.3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</row>
    <row r="586" spans="1:28" ht="15.75" customHeight="1" x14ac:dyDescent="0.3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</row>
    <row r="587" spans="1:28" ht="15.75" customHeight="1" x14ac:dyDescent="0.3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</row>
    <row r="588" spans="1:28" ht="15.75" customHeight="1" x14ac:dyDescent="0.3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</row>
    <row r="589" spans="1:28" ht="15.75" customHeight="1" x14ac:dyDescent="0.3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</row>
    <row r="590" spans="1:28" ht="15.75" customHeight="1" x14ac:dyDescent="0.3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</row>
    <row r="591" spans="1:28" ht="15.75" customHeight="1" x14ac:dyDescent="0.3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</row>
    <row r="592" spans="1:28" ht="15.75" customHeight="1" x14ac:dyDescent="0.3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</row>
    <row r="593" spans="1:28" ht="15.75" customHeight="1" x14ac:dyDescent="0.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</row>
    <row r="594" spans="1:28" ht="15.75" customHeight="1" x14ac:dyDescent="0.3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</row>
    <row r="595" spans="1:28" ht="15.75" customHeight="1" x14ac:dyDescent="0.3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</row>
    <row r="596" spans="1:28" ht="15.75" customHeight="1" x14ac:dyDescent="0.3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</row>
    <row r="597" spans="1:28" ht="15.75" customHeight="1" x14ac:dyDescent="0.3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</row>
    <row r="598" spans="1:28" ht="15.75" customHeight="1" x14ac:dyDescent="0.3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</row>
    <row r="599" spans="1:28" ht="15.75" customHeight="1" x14ac:dyDescent="0.3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</row>
    <row r="600" spans="1:28" ht="15.75" customHeight="1" x14ac:dyDescent="0.3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</row>
    <row r="601" spans="1:28" ht="15.75" customHeight="1" x14ac:dyDescent="0.3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</row>
    <row r="602" spans="1:28" ht="15.75" customHeight="1" x14ac:dyDescent="0.3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</row>
    <row r="603" spans="1:28" ht="15.75" customHeight="1" x14ac:dyDescent="0.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</row>
    <row r="604" spans="1:28" ht="15.75" customHeight="1" x14ac:dyDescent="0.3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</row>
    <row r="605" spans="1:28" ht="15.75" customHeight="1" x14ac:dyDescent="0.3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</row>
    <row r="606" spans="1:28" ht="15.75" customHeight="1" x14ac:dyDescent="0.3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</row>
    <row r="607" spans="1:28" ht="15.75" customHeight="1" x14ac:dyDescent="0.3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</row>
    <row r="608" spans="1:28" ht="15.75" customHeight="1" x14ac:dyDescent="0.3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</row>
    <row r="609" spans="1:28" ht="15.75" customHeight="1" x14ac:dyDescent="0.3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</row>
    <row r="610" spans="1:28" ht="15.75" customHeight="1" x14ac:dyDescent="0.3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</row>
    <row r="611" spans="1:28" ht="15.75" customHeight="1" x14ac:dyDescent="0.3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</row>
    <row r="612" spans="1:28" ht="15.75" customHeight="1" x14ac:dyDescent="0.3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</row>
    <row r="613" spans="1:28" ht="15.75" customHeight="1" x14ac:dyDescent="0.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</row>
    <row r="614" spans="1:28" ht="15.75" customHeight="1" x14ac:dyDescent="0.3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</row>
    <row r="615" spans="1:28" ht="15.75" customHeight="1" x14ac:dyDescent="0.3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</row>
    <row r="616" spans="1:28" ht="15.75" customHeight="1" x14ac:dyDescent="0.3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</row>
    <row r="617" spans="1:28" ht="15.75" customHeight="1" x14ac:dyDescent="0.3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</row>
    <row r="618" spans="1:28" ht="15.75" customHeight="1" x14ac:dyDescent="0.3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</row>
    <row r="619" spans="1:28" ht="15.75" customHeight="1" x14ac:dyDescent="0.3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</row>
    <row r="620" spans="1:28" ht="15.75" customHeight="1" x14ac:dyDescent="0.3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</row>
    <row r="621" spans="1:28" ht="15.75" customHeight="1" x14ac:dyDescent="0.3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</row>
    <row r="622" spans="1:28" ht="15.75" customHeight="1" x14ac:dyDescent="0.3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</row>
    <row r="623" spans="1:28" ht="15.75" customHeight="1" x14ac:dyDescent="0.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</row>
    <row r="624" spans="1:28" ht="15.75" customHeight="1" x14ac:dyDescent="0.3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</row>
    <row r="625" spans="1:28" ht="15.75" customHeight="1" x14ac:dyDescent="0.3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</row>
    <row r="626" spans="1:28" ht="15.75" customHeight="1" x14ac:dyDescent="0.3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</row>
    <row r="627" spans="1:28" ht="15.75" customHeight="1" x14ac:dyDescent="0.3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</row>
    <row r="628" spans="1:28" ht="15.75" customHeight="1" x14ac:dyDescent="0.3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</row>
    <row r="629" spans="1:28" ht="15.75" customHeight="1" x14ac:dyDescent="0.3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</row>
    <row r="630" spans="1:28" ht="15.75" customHeight="1" x14ac:dyDescent="0.3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</row>
    <row r="631" spans="1:28" ht="15.75" customHeight="1" x14ac:dyDescent="0.3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</row>
    <row r="632" spans="1:28" ht="15.75" customHeight="1" x14ac:dyDescent="0.3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 spans="1:28" ht="15.75" customHeight="1" x14ac:dyDescent="0.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</row>
    <row r="634" spans="1:28" ht="15.75" customHeight="1" x14ac:dyDescent="0.3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</row>
    <row r="635" spans="1:28" ht="15.75" customHeight="1" x14ac:dyDescent="0.3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</row>
    <row r="636" spans="1:28" ht="15.75" customHeight="1" x14ac:dyDescent="0.3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</row>
    <row r="637" spans="1:28" ht="15.75" customHeight="1" x14ac:dyDescent="0.3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</row>
    <row r="638" spans="1:28" ht="15.75" customHeight="1" x14ac:dyDescent="0.3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</row>
    <row r="639" spans="1:28" ht="15.75" customHeight="1" x14ac:dyDescent="0.3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</row>
    <row r="640" spans="1:28" ht="15.75" customHeight="1" x14ac:dyDescent="0.3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</row>
    <row r="641" spans="1:28" ht="15.75" customHeight="1" x14ac:dyDescent="0.3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</row>
    <row r="642" spans="1:28" ht="15.75" customHeight="1" x14ac:dyDescent="0.3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</row>
    <row r="643" spans="1:28" ht="15.75" customHeight="1" x14ac:dyDescent="0.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</row>
    <row r="644" spans="1:28" ht="15.75" customHeight="1" x14ac:dyDescent="0.3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</row>
    <row r="645" spans="1:28" ht="15.75" customHeight="1" x14ac:dyDescent="0.3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</row>
    <row r="646" spans="1:28" ht="15.75" customHeight="1" x14ac:dyDescent="0.3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</row>
    <row r="647" spans="1:28" ht="15.75" customHeight="1" x14ac:dyDescent="0.3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</row>
    <row r="648" spans="1:28" ht="15.75" customHeight="1" x14ac:dyDescent="0.3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</row>
    <row r="649" spans="1:28" ht="15.75" customHeight="1" x14ac:dyDescent="0.3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</row>
    <row r="650" spans="1:28" ht="15.75" customHeight="1" x14ac:dyDescent="0.3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</row>
    <row r="651" spans="1:28" ht="15.75" customHeight="1" x14ac:dyDescent="0.3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</row>
    <row r="652" spans="1:28" ht="15.75" customHeight="1" x14ac:dyDescent="0.3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</row>
    <row r="653" spans="1:28" ht="15.75" customHeight="1" x14ac:dyDescent="0.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</row>
    <row r="654" spans="1:28" ht="15.75" customHeight="1" x14ac:dyDescent="0.3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</row>
    <row r="655" spans="1:28" ht="15.75" customHeight="1" x14ac:dyDescent="0.3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</row>
    <row r="656" spans="1:28" ht="15.75" customHeight="1" x14ac:dyDescent="0.3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</row>
    <row r="657" spans="1:28" ht="15.75" customHeight="1" x14ac:dyDescent="0.3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</row>
    <row r="658" spans="1:28" ht="15.75" customHeight="1" x14ac:dyDescent="0.3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</row>
    <row r="659" spans="1:28" ht="15.75" customHeight="1" x14ac:dyDescent="0.3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</row>
    <row r="660" spans="1:28" ht="15.75" customHeight="1" x14ac:dyDescent="0.3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</row>
    <row r="661" spans="1:28" ht="15.75" customHeight="1" x14ac:dyDescent="0.3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</row>
    <row r="662" spans="1:28" ht="15.75" customHeight="1" x14ac:dyDescent="0.3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</row>
    <row r="663" spans="1:28" ht="15.75" customHeight="1" x14ac:dyDescent="0.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</row>
    <row r="664" spans="1:28" ht="15.75" customHeight="1" x14ac:dyDescent="0.3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</row>
    <row r="665" spans="1:28" ht="15.75" customHeight="1" x14ac:dyDescent="0.3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</row>
    <row r="666" spans="1:28" ht="15.75" customHeight="1" x14ac:dyDescent="0.3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</row>
    <row r="667" spans="1:28" ht="15.75" customHeight="1" x14ac:dyDescent="0.3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</row>
    <row r="668" spans="1:28" ht="15.75" customHeight="1" x14ac:dyDescent="0.3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</row>
    <row r="669" spans="1:28" ht="15.75" customHeight="1" x14ac:dyDescent="0.3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</row>
    <row r="670" spans="1:28" ht="15.75" customHeight="1" x14ac:dyDescent="0.3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</row>
    <row r="671" spans="1:28" ht="15.75" customHeight="1" x14ac:dyDescent="0.3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</row>
    <row r="672" spans="1:28" ht="15.75" customHeight="1" x14ac:dyDescent="0.3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</row>
    <row r="673" spans="1:28" ht="15.75" customHeight="1" x14ac:dyDescent="0.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</row>
    <row r="674" spans="1:28" ht="15.75" customHeight="1" x14ac:dyDescent="0.3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</row>
    <row r="675" spans="1:28" ht="15.75" customHeight="1" x14ac:dyDescent="0.3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</row>
    <row r="676" spans="1:28" ht="15.75" customHeight="1" x14ac:dyDescent="0.3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</row>
    <row r="677" spans="1:28" ht="15.75" customHeight="1" x14ac:dyDescent="0.3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</row>
    <row r="678" spans="1:28" ht="15.75" customHeight="1" x14ac:dyDescent="0.3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</row>
    <row r="679" spans="1:28" ht="15.75" customHeight="1" x14ac:dyDescent="0.3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</row>
    <row r="680" spans="1:28" ht="15.75" customHeight="1" x14ac:dyDescent="0.3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</row>
    <row r="681" spans="1:28" ht="15.75" customHeight="1" x14ac:dyDescent="0.3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</row>
    <row r="682" spans="1:28" ht="15.75" customHeight="1" x14ac:dyDescent="0.3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</row>
    <row r="683" spans="1:28" ht="15.75" customHeight="1" x14ac:dyDescent="0.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</row>
    <row r="684" spans="1:28" ht="15.75" customHeight="1" x14ac:dyDescent="0.3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</row>
    <row r="685" spans="1:28" ht="15.75" customHeight="1" x14ac:dyDescent="0.3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</row>
    <row r="686" spans="1:28" ht="15.75" customHeight="1" x14ac:dyDescent="0.3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</row>
    <row r="687" spans="1:28" ht="15.75" customHeight="1" x14ac:dyDescent="0.3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</row>
    <row r="688" spans="1:28" ht="15.75" customHeight="1" x14ac:dyDescent="0.3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</row>
    <row r="689" spans="1:28" ht="15.75" customHeight="1" x14ac:dyDescent="0.3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</row>
    <row r="690" spans="1:28" ht="15.75" customHeight="1" x14ac:dyDescent="0.3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</row>
    <row r="691" spans="1:28" ht="15.75" customHeight="1" x14ac:dyDescent="0.3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</row>
    <row r="692" spans="1:28" ht="15.75" customHeight="1" x14ac:dyDescent="0.3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 spans="1:28" ht="15.75" customHeight="1" x14ac:dyDescent="0.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</row>
    <row r="694" spans="1:28" ht="15.75" customHeight="1" x14ac:dyDescent="0.3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</row>
    <row r="695" spans="1:28" ht="15.75" customHeight="1" x14ac:dyDescent="0.3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</row>
    <row r="696" spans="1:28" ht="15.75" customHeight="1" x14ac:dyDescent="0.3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</row>
    <row r="697" spans="1:28" ht="15.75" customHeight="1" x14ac:dyDescent="0.3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</row>
    <row r="698" spans="1:28" ht="15.75" customHeight="1" x14ac:dyDescent="0.3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</row>
    <row r="699" spans="1:28" ht="15.75" customHeight="1" x14ac:dyDescent="0.3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</row>
    <row r="700" spans="1:28" ht="15.75" customHeight="1" x14ac:dyDescent="0.3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</row>
    <row r="701" spans="1:28" ht="15.75" customHeight="1" x14ac:dyDescent="0.3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</row>
    <row r="702" spans="1:28" ht="15.75" customHeight="1" x14ac:dyDescent="0.3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</row>
    <row r="703" spans="1:28" ht="15.75" customHeight="1" x14ac:dyDescent="0.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</row>
    <row r="704" spans="1:28" ht="15.75" customHeight="1" x14ac:dyDescent="0.3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</row>
    <row r="705" spans="1:28" ht="15.75" customHeight="1" x14ac:dyDescent="0.3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</row>
    <row r="706" spans="1:28" ht="15.75" customHeight="1" x14ac:dyDescent="0.3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</row>
    <row r="707" spans="1:28" ht="15.75" customHeight="1" x14ac:dyDescent="0.3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</row>
    <row r="708" spans="1:28" ht="15.75" customHeight="1" x14ac:dyDescent="0.3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</row>
    <row r="709" spans="1:28" ht="15.75" customHeight="1" x14ac:dyDescent="0.3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</row>
    <row r="710" spans="1:28" ht="15.75" customHeight="1" x14ac:dyDescent="0.3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</row>
    <row r="711" spans="1:28" ht="15.75" customHeight="1" x14ac:dyDescent="0.3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</row>
    <row r="712" spans="1:28" ht="15.75" customHeight="1" x14ac:dyDescent="0.3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</row>
    <row r="713" spans="1:28" ht="15.75" customHeight="1" x14ac:dyDescent="0.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</row>
    <row r="714" spans="1:28" ht="15.75" customHeight="1" x14ac:dyDescent="0.3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</row>
    <row r="715" spans="1:28" ht="15.75" customHeight="1" x14ac:dyDescent="0.3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</row>
    <row r="716" spans="1:28" ht="15.75" customHeight="1" x14ac:dyDescent="0.3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</row>
    <row r="717" spans="1:28" ht="15.75" customHeight="1" x14ac:dyDescent="0.3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</row>
    <row r="718" spans="1:28" ht="15.75" customHeight="1" x14ac:dyDescent="0.3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</row>
    <row r="719" spans="1:28" ht="15.75" customHeight="1" x14ac:dyDescent="0.3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</row>
    <row r="720" spans="1:28" ht="15.75" customHeight="1" x14ac:dyDescent="0.3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</row>
    <row r="721" spans="1:28" ht="15.75" customHeight="1" x14ac:dyDescent="0.3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</row>
    <row r="722" spans="1:28" ht="15.75" customHeight="1" x14ac:dyDescent="0.3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</row>
    <row r="723" spans="1:28" ht="15.75" customHeight="1" x14ac:dyDescent="0.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</row>
    <row r="724" spans="1:28" ht="15.75" customHeight="1" x14ac:dyDescent="0.3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</row>
    <row r="725" spans="1:28" ht="15.75" customHeight="1" x14ac:dyDescent="0.3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</row>
    <row r="726" spans="1:28" ht="15.75" customHeight="1" x14ac:dyDescent="0.3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</row>
    <row r="727" spans="1:28" ht="15.75" customHeight="1" x14ac:dyDescent="0.3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</row>
    <row r="728" spans="1:28" ht="15.75" customHeight="1" x14ac:dyDescent="0.3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</row>
    <row r="729" spans="1:28" ht="15.75" customHeight="1" x14ac:dyDescent="0.3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</row>
    <row r="730" spans="1:28" ht="15.75" customHeight="1" x14ac:dyDescent="0.3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</row>
    <row r="731" spans="1:28" ht="15.75" customHeight="1" x14ac:dyDescent="0.3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</row>
    <row r="732" spans="1:28" ht="15.75" customHeight="1" x14ac:dyDescent="0.3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</row>
    <row r="733" spans="1:28" ht="15.75" customHeight="1" x14ac:dyDescent="0.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</row>
    <row r="734" spans="1:28" ht="15.75" customHeight="1" x14ac:dyDescent="0.3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</row>
    <row r="735" spans="1:28" ht="15.75" customHeight="1" x14ac:dyDescent="0.3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</row>
    <row r="736" spans="1:28" ht="15.75" customHeight="1" x14ac:dyDescent="0.3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</row>
    <row r="737" spans="1:28" ht="15.75" customHeight="1" x14ac:dyDescent="0.3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</row>
    <row r="738" spans="1:28" ht="15.75" customHeight="1" x14ac:dyDescent="0.3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</row>
    <row r="739" spans="1:28" ht="15.75" customHeight="1" x14ac:dyDescent="0.3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</row>
    <row r="740" spans="1:28" ht="15.75" customHeight="1" x14ac:dyDescent="0.3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</row>
    <row r="741" spans="1:28" ht="15.75" customHeight="1" x14ac:dyDescent="0.3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</row>
    <row r="742" spans="1:28" ht="15.75" customHeight="1" x14ac:dyDescent="0.3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</row>
    <row r="743" spans="1:28" ht="15.75" customHeight="1" x14ac:dyDescent="0.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</row>
    <row r="744" spans="1:28" ht="15.75" customHeight="1" x14ac:dyDescent="0.3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</row>
    <row r="745" spans="1:28" ht="15.75" customHeight="1" x14ac:dyDescent="0.3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</row>
    <row r="746" spans="1:28" ht="15.75" customHeight="1" x14ac:dyDescent="0.3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</row>
    <row r="747" spans="1:28" ht="15.75" customHeight="1" x14ac:dyDescent="0.3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</row>
    <row r="748" spans="1:28" ht="15.75" customHeight="1" x14ac:dyDescent="0.3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</row>
    <row r="749" spans="1:28" ht="15.75" customHeight="1" x14ac:dyDescent="0.3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</row>
    <row r="750" spans="1:28" ht="15.75" customHeight="1" x14ac:dyDescent="0.3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</row>
    <row r="751" spans="1:28" ht="15.75" customHeight="1" x14ac:dyDescent="0.3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</row>
    <row r="752" spans="1:28" ht="15.75" customHeight="1" x14ac:dyDescent="0.3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 spans="1:28" ht="15.75" customHeight="1" x14ac:dyDescent="0.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</row>
    <row r="754" spans="1:28" ht="15.75" customHeight="1" x14ac:dyDescent="0.3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</row>
    <row r="755" spans="1:28" ht="15.75" customHeight="1" x14ac:dyDescent="0.3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</row>
    <row r="756" spans="1:28" ht="15.75" customHeight="1" x14ac:dyDescent="0.3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</row>
    <row r="757" spans="1:28" ht="15.75" customHeight="1" x14ac:dyDescent="0.3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</row>
    <row r="758" spans="1:28" ht="15.75" customHeight="1" x14ac:dyDescent="0.3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</row>
    <row r="759" spans="1:28" ht="15.75" customHeight="1" x14ac:dyDescent="0.3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</row>
    <row r="760" spans="1:28" ht="15.75" customHeight="1" x14ac:dyDescent="0.3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</row>
    <row r="761" spans="1:28" ht="15.75" customHeight="1" x14ac:dyDescent="0.3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</row>
    <row r="762" spans="1:28" ht="15.75" customHeight="1" x14ac:dyDescent="0.3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</row>
    <row r="763" spans="1:28" ht="15.75" customHeight="1" x14ac:dyDescent="0.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</row>
    <row r="764" spans="1:28" ht="15.75" customHeight="1" x14ac:dyDescent="0.3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</row>
    <row r="765" spans="1:28" ht="15.75" customHeight="1" x14ac:dyDescent="0.3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</row>
    <row r="766" spans="1:28" ht="15.75" customHeight="1" x14ac:dyDescent="0.3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</row>
    <row r="767" spans="1:28" ht="15.75" customHeight="1" x14ac:dyDescent="0.3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</row>
    <row r="768" spans="1:28" ht="15.75" customHeight="1" x14ac:dyDescent="0.3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</row>
    <row r="769" spans="1:28" ht="15.75" customHeight="1" x14ac:dyDescent="0.3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</row>
    <row r="770" spans="1:28" ht="15.75" customHeight="1" x14ac:dyDescent="0.3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</row>
    <row r="771" spans="1:28" ht="15.75" customHeight="1" x14ac:dyDescent="0.3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</row>
    <row r="772" spans="1:28" ht="15.75" customHeight="1" x14ac:dyDescent="0.3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</row>
    <row r="773" spans="1:28" ht="15.75" customHeight="1" x14ac:dyDescent="0.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</row>
    <row r="774" spans="1:28" ht="15.75" customHeight="1" x14ac:dyDescent="0.3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</row>
    <row r="775" spans="1:28" ht="15.75" customHeight="1" x14ac:dyDescent="0.3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</row>
    <row r="776" spans="1:28" ht="15.75" customHeight="1" x14ac:dyDescent="0.3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</row>
    <row r="777" spans="1:28" ht="15.75" customHeight="1" x14ac:dyDescent="0.3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</row>
    <row r="778" spans="1:28" ht="15.75" customHeight="1" x14ac:dyDescent="0.3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</row>
    <row r="779" spans="1:28" ht="15.75" customHeight="1" x14ac:dyDescent="0.3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</row>
    <row r="780" spans="1:28" ht="15.75" customHeight="1" x14ac:dyDescent="0.3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</row>
    <row r="781" spans="1:28" ht="15.75" customHeight="1" x14ac:dyDescent="0.3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</row>
    <row r="782" spans="1:28" ht="15.75" customHeight="1" x14ac:dyDescent="0.3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</row>
    <row r="783" spans="1:28" ht="15.75" customHeight="1" x14ac:dyDescent="0.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</row>
    <row r="784" spans="1:28" ht="15.75" customHeight="1" x14ac:dyDescent="0.3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</row>
    <row r="785" spans="1:28" ht="15.75" customHeight="1" x14ac:dyDescent="0.3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</row>
    <row r="786" spans="1:28" ht="15.75" customHeight="1" x14ac:dyDescent="0.3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</row>
    <row r="787" spans="1:28" ht="15.75" customHeight="1" x14ac:dyDescent="0.3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</row>
    <row r="788" spans="1:28" ht="15.75" customHeight="1" x14ac:dyDescent="0.3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</row>
    <row r="789" spans="1:28" ht="15.75" customHeight="1" x14ac:dyDescent="0.3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</row>
    <row r="790" spans="1:28" ht="15.75" customHeight="1" x14ac:dyDescent="0.3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</row>
    <row r="791" spans="1:28" ht="15.75" customHeight="1" x14ac:dyDescent="0.3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</row>
    <row r="792" spans="1:28" ht="15.75" customHeight="1" x14ac:dyDescent="0.3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</row>
    <row r="793" spans="1:28" ht="15.75" customHeight="1" x14ac:dyDescent="0.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</row>
    <row r="794" spans="1:28" ht="15.75" customHeight="1" x14ac:dyDescent="0.3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</row>
    <row r="795" spans="1:28" ht="15.75" customHeight="1" x14ac:dyDescent="0.3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</row>
    <row r="796" spans="1:28" ht="15.75" customHeight="1" x14ac:dyDescent="0.3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</row>
    <row r="797" spans="1:28" ht="15.75" customHeight="1" x14ac:dyDescent="0.3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</row>
    <row r="798" spans="1:28" ht="15.75" customHeight="1" x14ac:dyDescent="0.3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</row>
    <row r="799" spans="1:28" ht="15.75" customHeight="1" x14ac:dyDescent="0.3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</row>
    <row r="800" spans="1:28" ht="15.75" customHeight="1" x14ac:dyDescent="0.3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</row>
    <row r="801" spans="1:28" ht="15.75" customHeight="1" x14ac:dyDescent="0.3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</row>
    <row r="802" spans="1:28" ht="15.75" customHeight="1" x14ac:dyDescent="0.3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</row>
    <row r="803" spans="1:28" ht="15.75" customHeight="1" x14ac:dyDescent="0.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</row>
    <row r="804" spans="1:28" ht="15.75" customHeight="1" x14ac:dyDescent="0.3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</row>
    <row r="805" spans="1:28" ht="15.75" customHeight="1" x14ac:dyDescent="0.3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</row>
    <row r="806" spans="1:28" ht="15.75" customHeight="1" x14ac:dyDescent="0.3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</row>
    <row r="807" spans="1:28" ht="15.75" customHeight="1" x14ac:dyDescent="0.3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</row>
    <row r="808" spans="1:28" ht="15.75" customHeight="1" x14ac:dyDescent="0.3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</row>
    <row r="809" spans="1:28" ht="15.75" customHeight="1" x14ac:dyDescent="0.3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</row>
    <row r="810" spans="1:28" ht="15.75" customHeight="1" x14ac:dyDescent="0.3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</row>
    <row r="811" spans="1:28" ht="15.75" customHeight="1" x14ac:dyDescent="0.3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</row>
    <row r="812" spans="1:28" ht="15.75" customHeight="1" x14ac:dyDescent="0.3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 spans="1:28" ht="15.75" customHeight="1" x14ac:dyDescent="0.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</row>
    <row r="814" spans="1:28" ht="15.75" customHeight="1" x14ac:dyDescent="0.3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</row>
    <row r="815" spans="1:28" ht="15.75" customHeight="1" x14ac:dyDescent="0.3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</row>
    <row r="816" spans="1:28" ht="15.75" customHeight="1" x14ac:dyDescent="0.3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</row>
    <row r="817" spans="1:28" ht="15.75" customHeight="1" x14ac:dyDescent="0.3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</row>
    <row r="818" spans="1:28" ht="15.75" customHeight="1" x14ac:dyDescent="0.3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</row>
    <row r="819" spans="1:28" ht="15.75" customHeight="1" x14ac:dyDescent="0.3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</row>
    <row r="820" spans="1:28" ht="15.75" customHeight="1" x14ac:dyDescent="0.3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</row>
    <row r="821" spans="1:28" ht="15.75" customHeight="1" x14ac:dyDescent="0.3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</row>
    <row r="822" spans="1:28" ht="15.75" customHeight="1" x14ac:dyDescent="0.3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</row>
    <row r="823" spans="1:28" ht="15.75" customHeight="1" x14ac:dyDescent="0.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</row>
    <row r="824" spans="1:28" ht="15.75" customHeight="1" x14ac:dyDescent="0.3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</row>
    <row r="825" spans="1:28" ht="15.75" customHeight="1" x14ac:dyDescent="0.3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</row>
    <row r="826" spans="1:28" ht="15.75" customHeight="1" x14ac:dyDescent="0.3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</row>
    <row r="827" spans="1:28" ht="15.75" customHeight="1" x14ac:dyDescent="0.3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</row>
    <row r="828" spans="1:28" ht="15.75" customHeight="1" x14ac:dyDescent="0.3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</row>
    <row r="829" spans="1:28" ht="15.75" customHeight="1" x14ac:dyDescent="0.3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</row>
    <row r="830" spans="1:28" ht="15.75" customHeight="1" x14ac:dyDescent="0.3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</row>
    <row r="831" spans="1:28" ht="15.75" customHeight="1" x14ac:dyDescent="0.3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</row>
    <row r="832" spans="1:28" ht="15.75" customHeight="1" x14ac:dyDescent="0.3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</row>
    <row r="833" spans="1:28" ht="15.75" customHeight="1" x14ac:dyDescent="0.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</row>
    <row r="834" spans="1:28" ht="15.75" customHeight="1" x14ac:dyDescent="0.3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</row>
    <row r="835" spans="1:28" ht="15.75" customHeight="1" x14ac:dyDescent="0.3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</row>
    <row r="836" spans="1:28" ht="15.75" customHeight="1" x14ac:dyDescent="0.3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</row>
    <row r="837" spans="1:28" ht="15.75" customHeight="1" x14ac:dyDescent="0.3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</row>
    <row r="838" spans="1:28" ht="15.75" customHeight="1" x14ac:dyDescent="0.3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</row>
    <row r="839" spans="1:28" ht="15.75" customHeight="1" x14ac:dyDescent="0.3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</row>
    <row r="840" spans="1:28" ht="15.75" customHeight="1" x14ac:dyDescent="0.3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</row>
    <row r="841" spans="1:28" ht="15.75" customHeight="1" x14ac:dyDescent="0.3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</row>
    <row r="842" spans="1:28" ht="15.75" customHeight="1" x14ac:dyDescent="0.3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</row>
    <row r="843" spans="1:28" ht="15.75" customHeight="1" x14ac:dyDescent="0.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</row>
    <row r="844" spans="1:28" ht="15.75" customHeight="1" x14ac:dyDescent="0.3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</row>
    <row r="845" spans="1:28" ht="15.75" customHeight="1" x14ac:dyDescent="0.3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</row>
    <row r="846" spans="1:28" ht="15.75" customHeight="1" x14ac:dyDescent="0.3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</row>
    <row r="847" spans="1:28" ht="15.75" customHeight="1" x14ac:dyDescent="0.3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</row>
    <row r="848" spans="1:28" ht="15.75" customHeight="1" x14ac:dyDescent="0.3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</row>
    <row r="849" spans="1:28" ht="15.75" customHeight="1" x14ac:dyDescent="0.3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</row>
    <row r="850" spans="1:28" ht="15.75" customHeight="1" x14ac:dyDescent="0.3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</row>
    <row r="851" spans="1:28" ht="15.75" customHeight="1" x14ac:dyDescent="0.3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</row>
    <row r="852" spans="1:28" ht="15.75" customHeight="1" x14ac:dyDescent="0.3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</row>
    <row r="853" spans="1:28" ht="15.75" customHeight="1" x14ac:dyDescent="0.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</row>
    <row r="854" spans="1:28" ht="15.75" customHeight="1" x14ac:dyDescent="0.3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</row>
    <row r="855" spans="1:28" ht="15.75" customHeight="1" x14ac:dyDescent="0.3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</row>
    <row r="856" spans="1:28" ht="15.75" customHeight="1" x14ac:dyDescent="0.3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</row>
    <row r="857" spans="1:28" ht="15.75" customHeight="1" x14ac:dyDescent="0.3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</row>
    <row r="858" spans="1:28" ht="15.75" customHeight="1" x14ac:dyDescent="0.3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</row>
    <row r="859" spans="1:28" ht="15.75" customHeight="1" x14ac:dyDescent="0.3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</row>
    <row r="860" spans="1:28" ht="15.75" customHeight="1" x14ac:dyDescent="0.3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</row>
    <row r="861" spans="1:28" ht="15.75" customHeight="1" x14ac:dyDescent="0.3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</row>
    <row r="862" spans="1:28" ht="15.75" customHeight="1" x14ac:dyDescent="0.3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</row>
    <row r="863" spans="1:28" ht="15.75" customHeight="1" x14ac:dyDescent="0.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</row>
    <row r="864" spans="1:28" ht="15.75" customHeight="1" x14ac:dyDescent="0.3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</row>
    <row r="865" spans="1:28" ht="15.75" customHeight="1" x14ac:dyDescent="0.3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</row>
    <row r="866" spans="1:28" ht="15.75" customHeight="1" x14ac:dyDescent="0.3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</row>
    <row r="867" spans="1:28" ht="15.75" customHeight="1" x14ac:dyDescent="0.3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</row>
    <row r="868" spans="1:28" ht="15.75" customHeight="1" x14ac:dyDescent="0.3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</row>
    <row r="869" spans="1:28" ht="15.75" customHeight="1" x14ac:dyDescent="0.3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</row>
    <row r="870" spans="1:28" ht="15.75" customHeight="1" x14ac:dyDescent="0.3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</row>
    <row r="871" spans="1:28" ht="15.75" customHeight="1" x14ac:dyDescent="0.3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</row>
    <row r="872" spans="1:28" ht="15.75" customHeight="1" x14ac:dyDescent="0.3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 spans="1:28" ht="15.75" customHeight="1" x14ac:dyDescent="0.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</row>
    <row r="874" spans="1:28" ht="15.75" customHeight="1" x14ac:dyDescent="0.3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</row>
    <row r="875" spans="1:28" ht="15.75" customHeight="1" x14ac:dyDescent="0.3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</row>
    <row r="876" spans="1:28" ht="15.75" customHeight="1" x14ac:dyDescent="0.3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</row>
    <row r="877" spans="1:28" ht="15.75" customHeight="1" x14ac:dyDescent="0.3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</row>
    <row r="878" spans="1:28" ht="15.75" customHeight="1" x14ac:dyDescent="0.3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</row>
    <row r="879" spans="1:28" ht="15.75" customHeight="1" x14ac:dyDescent="0.3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</row>
    <row r="880" spans="1:28" ht="15.75" customHeight="1" x14ac:dyDescent="0.3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</row>
    <row r="881" spans="1:28" ht="15.75" customHeight="1" x14ac:dyDescent="0.3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</row>
    <row r="882" spans="1:28" ht="15.75" customHeight="1" x14ac:dyDescent="0.3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</row>
    <row r="883" spans="1:28" ht="15.75" customHeight="1" x14ac:dyDescent="0.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</row>
    <row r="884" spans="1:28" ht="15.75" customHeight="1" x14ac:dyDescent="0.3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</row>
    <row r="885" spans="1:28" ht="15.75" customHeight="1" x14ac:dyDescent="0.3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</row>
    <row r="886" spans="1:28" ht="15.75" customHeight="1" x14ac:dyDescent="0.3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</row>
    <row r="887" spans="1:28" ht="15.75" customHeight="1" x14ac:dyDescent="0.3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</row>
    <row r="888" spans="1:28" ht="15.75" customHeight="1" x14ac:dyDescent="0.3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</row>
    <row r="889" spans="1:28" ht="15.75" customHeight="1" x14ac:dyDescent="0.3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</row>
    <row r="890" spans="1:28" ht="15.75" customHeight="1" x14ac:dyDescent="0.3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</row>
    <row r="891" spans="1:28" ht="15.75" customHeight="1" x14ac:dyDescent="0.3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</row>
    <row r="892" spans="1:28" ht="15.75" customHeight="1" x14ac:dyDescent="0.3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</row>
    <row r="893" spans="1:28" ht="15.75" customHeight="1" x14ac:dyDescent="0.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</row>
    <row r="894" spans="1:28" ht="15.75" customHeight="1" x14ac:dyDescent="0.3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</row>
    <row r="895" spans="1:28" ht="15.75" customHeight="1" x14ac:dyDescent="0.3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</row>
    <row r="896" spans="1:28" ht="15.75" customHeight="1" x14ac:dyDescent="0.3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</row>
    <row r="897" spans="1:28" ht="15.75" customHeight="1" x14ac:dyDescent="0.3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</row>
    <row r="898" spans="1:28" ht="15.75" customHeight="1" x14ac:dyDescent="0.3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</row>
    <row r="899" spans="1:28" ht="15.75" customHeight="1" x14ac:dyDescent="0.3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</row>
    <row r="900" spans="1:28" ht="15.75" customHeight="1" x14ac:dyDescent="0.3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</row>
    <row r="901" spans="1:28" ht="15.75" customHeight="1" x14ac:dyDescent="0.3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</row>
    <row r="902" spans="1:28" ht="15.75" customHeight="1" x14ac:dyDescent="0.3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</row>
    <row r="903" spans="1:28" ht="15.75" customHeight="1" x14ac:dyDescent="0.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</row>
    <row r="904" spans="1:28" ht="15.75" customHeight="1" x14ac:dyDescent="0.3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</row>
    <row r="905" spans="1:28" ht="15.75" customHeight="1" x14ac:dyDescent="0.3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</row>
    <row r="906" spans="1:28" ht="15.75" customHeight="1" x14ac:dyDescent="0.3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</row>
    <row r="907" spans="1:28" ht="15.75" customHeight="1" x14ac:dyDescent="0.3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</row>
    <row r="908" spans="1:28" ht="15.75" customHeight="1" x14ac:dyDescent="0.3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</row>
    <row r="909" spans="1:28" ht="15.75" customHeight="1" x14ac:dyDescent="0.3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</row>
    <row r="910" spans="1:28" ht="15.75" customHeight="1" x14ac:dyDescent="0.3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</row>
    <row r="911" spans="1:28" ht="15.75" customHeight="1" x14ac:dyDescent="0.3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</row>
    <row r="912" spans="1:28" ht="15.75" customHeight="1" x14ac:dyDescent="0.3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</row>
    <row r="913" spans="1:28" ht="15.75" customHeight="1" x14ac:dyDescent="0.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</row>
    <row r="914" spans="1:28" ht="15.75" customHeight="1" x14ac:dyDescent="0.3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</row>
    <row r="915" spans="1:28" ht="15.75" customHeight="1" x14ac:dyDescent="0.3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</row>
    <row r="916" spans="1:28" ht="15.75" customHeight="1" x14ac:dyDescent="0.3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</row>
    <row r="917" spans="1:28" ht="15.75" customHeight="1" x14ac:dyDescent="0.3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</row>
    <row r="918" spans="1:28" ht="15.75" customHeight="1" x14ac:dyDescent="0.3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</row>
    <row r="919" spans="1:28" ht="15.75" customHeight="1" x14ac:dyDescent="0.3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</row>
    <row r="920" spans="1:28" ht="15.75" customHeight="1" x14ac:dyDescent="0.3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</row>
    <row r="921" spans="1:28" ht="15.75" customHeight="1" x14ac:dyDescent="0.3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</row>
    <row r="922" spans="1:28" ht="15.75" customHeight="1" x14ac:dyDescent="0.3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</row>
    <row r="923" spans="1:28" ht="15.75" customHeight="1" x14ac:dyDescent="0.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</row>
    <row r="924" spans="1:28" ht="15.75" customHeight="1" x14ac:dyDescent="0.3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</row>
    <row r="925" spans="1:28" ht="15.75" customHeight="1" x14ac:dyDescent="0.3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</row>
    <row r="926" spans="1:28" ht="15.75" customHeight="1" x14ac:dyDescent="0.3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</row>
    <row r="927" spans="1:28" ht="15.75" customHeight="1" x14ac:dyDescent="0.3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</row>
    <row r="928" spans="1:28" ht="15.75" customHeight="1" x14ac:dyDescent="0.3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</row>
    <row r="929" spans="1:28" ht="15.75" customHeight="1" x14ac:dyDescent="0.3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</row>
    <row r="930" spans="1:28" ht="15.75" customHeight="1" x14ac:dyDescent="0.3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</row>
    <row r="931" spans="1:28" ht="15.75" customHeight="1" x14ac:dyDescent="0.3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</row>
    <row r="932" spans="1:28" ht="15.75" customHeight="1" x14ac:dyDescent="0.3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 spans="1:28" ht="15.75" customHeight="1" x14ac:dyDescent="0.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</row>
    <row r="934" spans="1:28" ht="15.75" customHeight="1" x14ac:dyDescent="0.3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</row>
    <row r="935" spans="1:28" ht="15.75" customHeight="1" x14ac:dyDescent="0.3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</row>
    <row r="936" spans="1:28" ht="15.75" customHeight="1" x14ac:dyDescent="0.3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</row>
    <row r="937" spans="1:28" ht="15.75" customHeight="1" x14ac:dyDescent="0.3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</row>
    <row r="938" spans="1:28" ht="15.75" customHeight="1" x14ac:dyDescent="0.3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</row>
    <row r="939" spans="1:28" ht="15.75" customHeight="1" x14ac:dyDescent="0.3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</row>
    <row r="940" spans="1:28" ht="15.75" customHeight="1" x14ac:dyDescent="0.3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</row>
    <row r="941" spans="1:28" ht="15.75" customHeight="1" x14ac:dyDescent="0.3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</row>
    <row r="942" spans="1:28" ht="15.75" customHeight="1" x14ac:dyDescent="0.3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</row>
    <row r="943" spans="1:28" ht="15.75" customHeight="1" x14ac:dyDescent="0.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</row>
    <row r="944" spans="1:28" ht="15.75" customHeight="1" x14ac:dyDescent="0.3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</row>
    <row r="945" spans="1:28" ht="15.75" customHeight="1" x14ac:dyDescent="0.3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</row>
    <row r="946" spans="1:28" ht="15.75" customHeight="1" x14ac:dyDescent="0.3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</row>
    <row r="947" spans="1:28" ht="15.75" customHeight="1" x14ac:dyDescent="0.3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</row>
    <row r="948" spans="1:28" ht="15.75" customHeight="1" x14ac:dyDescent="0.3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</row>
    <row r="949" spans="1:28" ht="15.75" customHeight="1" x14ac:dyDescent="0.3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</row>
    <row r="950" spans="1:28" ht="15.75" customHeight="1" x14ac:dyDescent="0.3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</row>
    <row r="951" spans="1:28" ht="15.75" customHeight="1" x14ac:dyDescent="0.3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</row>
    <row r="952" spans="1:28" ht="15.75" customHeight="1" x14ac:dyDescent="0.3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</row>
    <row r="953" spans="1:28" ht="15.75" customHeight="1" x14ac:dyDescent="0.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</row>
    <row r="954" spans="1:28" ht="15.75" customHeight="1" x14ac:dyDescent="0.3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</row>
    <row r="955" spans="1:28" ht="15.75" customHeight="1" x14ac:dyDescent="0.3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</row>
    <row r="956" spans="1:28" ht="15.75" customHeight="1" x14ac:dyDescent="0.3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</row>
    <row r="957" spans="1:28" ht="15.75" customHeight="1" x14ac:dyDescent="0.3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</row>
    <row r="958" spans="1:28" ht="15.75" customHeight="1" x14ac:dyDescent="0.3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</row>
    <row r="959" spans="1:28" ht="15.75" customHeight="1" x14ac:dyDescent="0.3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</row>
    <row r="960" spans="1:28" ht="15.75" customHeight="1" x14ac:dyDescent="0.3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</row>
    <row r="961" spans="1:28" ht="15.75" customHeight="1" x14ac:dyDescent="0.3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</row>
    <row r="962" spans="1:28" ht="15.75" customHeight="1" x14ac:dyDescent="0.3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</row>
    <row r="963" spans="1:28" ht="15.75" customHeight="1" x14ac:dyDescent="0.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</row>
    <row r="964" spans="1:28" ht="15.75" customHeight="1" x14ac:dyDescent="0.3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</row>
    <row r="965" spans="1:28" ht="15.75" customHeight="1" x14ac:dyDescent="0.3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</row>
    <row r="966" spans="1:28" ht="15.75" customHeight="1" x14ac:dyDescent="0.3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</row>
    <row r="967" spans="1:28" ht="15.75" customHeight="1" x14ac:dyDescent="0.3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</row>
    <row r="968" spans="1:28" ht="15.75" customHeight="1" x14ac:dyDescent="0.3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</row>
    <row r="969" spans="1:28" ht="15.75" customHeight="1" x14ac:dyDescent="0.3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</row>
    <row r="970" spans="1:28" ht="15.75" customHeight="1" x14ac:dyDescent="0.3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</row>
    <row r="971" spans="1:28" ht="15.75" customHeight="1" x14ac:dyDescent="0.3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</row>
    <row r="972" spans="1:28" ht="15.75" customHeight="1" x14ac:dyDescent="0.3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</row>
    <row r="973" spans="1:28" ht="15.75" customHeight="1" x14ac:dyDescent="0.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</row>
    <row r="974" spans="1:28" ht="15.75" customHeight="1" x14ac:dyDescent="0.3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</row>
    <row r="975" spans="1:28" ht="15.75" customHeight="1" x14ac:dyDescent="0.3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</row>
    <row r="976" spans="1:28" ht="15.75" customHeight="1" x14ac:dyDescent="0.3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</row>
    <row r="977" spans="1:28" ht="15.75" customHeight="1" x14ac:dyDescent="0.3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</row>
    <row r="978" spans="1:28" ht="15.75" customHeight="1" x14ac:dyDescent="0.3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</row>
    <row r="979" spans="1:28" ht="15.75" customHeight="1" x14ac:dyDescent="0.3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</row>
    <row r="980" spans="1:28" ht="15.75" customHeight="1" x14ac:dyDescent="0.3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</row>
    <row r="981" spans="1:28" ht="15.75" customHeight="1" x14ac:dyDescent="0.3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</row>
    <row r="982" spans="1:28" ht="15.75" customHeight="1" x14ac:dyDescent="0.3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</row>
    <row r="983" spans="1:28" ht="15.75" customHeight="1" x14ac:dyDescent="0.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</row>
    <row r="984" spans="1:28" ht="15.75" customHeight="1" x14ac:dyDescent="0.3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</row>
    <row r="985" spans="1:28" ht="15.75" customHeight="1" x14ac:dyDescent="0.3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</row>
    <row r="986" spans="1:28" ht="15.75" customHeight="1" x14ac:dyDescent="0.3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</row>
    <row r="987" spans="1:28" ht="15.75" customHeight="1" x14ac:dyDescent="0.3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</row>
    <row r="988" spans="1:28" ht="15.75" customHeight="1" x14ac:dyDescent="0.3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</row>
    <row r="989" spans="1:28" ht="15.75" customHeight="1" x14ac:dyDescent="0.3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</row>
    <row r="990" spans="1:28" ht="15.75" customHeight="1" x14ac:dyDescent="0.3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</row>
    <row r="991" spans="1:28" ht="15.75" customHeight="1" x14ac:dyDescent="0.3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</row>
    <row r="992" spans="1:28" ht="15.75" customHeight="1" x14ac:dyDescent="0.3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</row>
    <row r="993" spans="1:28" ht="15.75" customHeight="1" x14ac:dyDescent="0.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</row>
    <row r="994" spans="1:28" ht="15.75" customHeight="1" x14ac:dyDescent="0.3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</row>
    <row r="995" spans="1:28" ht="15.75" customHeight="1" x14ac:dyDescent="0.3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</row>
    <row r="996" spans="1:28" ht="15.75" customHeight="1" x14ac:dyDescent="0.3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</row>
    <row r="997" spans="1:28" ht="15.75" customHeight="1" x14ac:dyDescent="0.3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</row>
    <row r="998" spans="1:28" ht="15.75" customHeight="1" x14ac:dyDescent="0.3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</row>
    <row r="999" spans="1:28" ht="15.75" customHeight="1" x14ac:dyDescent="0.3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</row>
    <row r="1000" spans="1:28" ht="15.75" customHeight="1" x14ac:dyDescent="0.3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</row>
  </sheetData>
  <mergeCells count="24">
    <mergeCell ref="A19:P19"/>
    <mergeCell ref="P10:Q10"/>
    <mergeCell ref="N10:O10"/>
    <mergeCell ref="A10:A11"/>
    <mergeCell ref="B10:B11"/>
    <mergeCell ref="C10:C11"/>
    <mergeCell ref="D10:E10"/>
    <mergeCell ref="F10:G10"/>
    <mergeCell ref="A8:Q8"/>
    <mergeCell ref="H10:I10"/>
    <mergeCell ref="B30:C30"/>
    <mergeCell ref="D30:E30"/>
    <mergeCell ref="F30:G30"/>
    <mergeCell ref="J30:K30"/>
    <mergeCell ref="L30:M30"/>
    <mergeCell ref="N30:O30"/>
    <mergeCell ref="P30:Q30"/>
    <mergeCell ref="J10:K10"/>
    <mergeCell ref="B20:C20"/>
    <mergeCell ref="B22:C22"/>
    <mergeCell ref="B23:C23"/>
    <mergeCell ref="B24:C24"/>
    <mergeCell ref="B25:C25"/>
    <mergeCell ref="L10:M10"/>
  </mergeCells>
  <pageMargins left="0.7" right="0.7" top="0.75" bottom="0.75" header="0" footer="0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042B-AF2D-42D0-A47C-D267E410CCCE}">
  <sheetPr>
    <pageSetUpPr fitToPage="1"/>
  </sheetPr>
  <dimension ref="A1:AB1022"/>
  <sheetViews>
    <sheetView topLeftCell="A7" workbookViewId="0">
      <selection activeCell="C35" sqref="C35"/>
    </sheetView>
  </sheetViews>
  <sheetFormatPr baseColWidth="10" defaultColWidth="14.44140625" defaultRowHeight="15" customHeight="1" x14ac:dyDescent="0.3"/>
  <cols>
    <col min="1" max="1" width="35.88671875" customWidth="1"/>
    <col min="2" max="2" width="6.33203125" customWidth="1"/>
    <col min="3" max="3" width="7.88671875" customWidth="1"/>
    <col min="4" max="4" width="11.44140625" customWidth="1"/>
    <col min="5" max="5" width="14.109375" customWidth="1"/>
    <col min="6" max="6" width="11.44140625" customWidth="1"/>
    <col min="7" max="7" width="14.109375" customWidth="1"/>
    <col min="8" max="10" width="12" hidden="1" customWidth="1"/>
    <col min="11" max="11" width="14.109375" hidden="1" customWidth="1"/>
    <col min="12" max="12" width="12" hidden="1" customWidth="1"/>
    <col min="13" max="13" width="14.109375" hidden="1" customWidth="1"/>
    <col min="14" max="14" width="12" hidden="1" customWidth="1"/>
    <col min="15" max="15" width="14.109375" hidden="1" customWidth="1"/>
    <col min="16" max="16" width="12" customWidth="1"/>
    <col min="17" max="17" width="14.109375" customWidth="1"/>
    <col min="18" max="28" width="10.6640625" customWidth="1"/>
  </cols>
  <sheetData>
    <row r="1" spans="1:28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x14ac:dyDescent="0.3">
      <c r="A2" s="5" t="s">
        <v>96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</row>
    <row r="3" spans="1:28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1:28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spans="1:28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</row>
    <row r="6" spans="1:28" x14ac:dyDescent="0.3">
      <c r="A6" s="5" t="s">
        <v>97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</row>
    <row r="7" spans="1:28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</row>
    <row r="8" spans="1:28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5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</row>
    <row r="9" spans="1:28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</row>
    <row r="10" spans="1:28" ht="14.4" x14ac:dyDescent="0.3">
      <c r="A10" s="310" t="s">
        <v>6</v>
      </c>
      <c r="B10" s="311" t="s">
        <v>7</v>
      </c>
      <c r="C10" s="312" t="s">
        <v>8</v>
      </c>
      <c r="D10" s="309" t="s">
        <v>105</v>
      </c>
      <c r="E10" s="271"/>
      <c r="F10" s="307"/>
      <c r="G10" s="271"/>
      <c r="H10" s="307" t="s">
        <v>98</v>
      </c>
      <c r="I10" s="271"/>
      <c r="J10" s="309" t="s">
        <v>99</v>
      </c>
      <c r="K10" s="282"/>
      <c r="L10" s="307" t="s">
        <v>100</v>
      </c>
      <c r="M10" s="271"/>
      <c r="N10" s="307" t="s">
        <v>35</v>
      </c>
      <c r="O10" s="271"/>
      <c r="P10" s="307" t="s">
        <v>12</v>
      </c>
      <c r="Q10" s="271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</row>
    <row r="11" spans="1:28" thickBot="1" x14ac:dyDescent="0.35">
      <c r="A11" s="294"/>
      <c r="B11" s="292"/>
      <c r="C11" s="292"/>
      <c r="D11" s="89" t="s">
        <v>13</v>
      </c>
      <c r="E11" s="90" t="s">
        <v>14</v>
      </c>
      <c r="F11" s="91"/>
      <c r="G11" s="90"/>
      <c r="H11" s="91" t="s">
        <v>13</v>
      </c>
      <c r="I11" s="90" t="s">
        <v>14</v>
      </c>
      <c r="J11" s="89" t="s">
        <v>13</v>
      </c>
      <c r="K11" s="92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  <c r="P11" s="91" t="s">
        <v>13</v>
      </c>
      <c r="Q11" s="90" t="s">
        <v>14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</row>
    <row r="12" spans="1:28" ht="14.4" x14ac:dyDescent="0.3">
      <c r="A12" s="93" t="s">
        <v>129</v>
      </c>
      <c r="B12" s="12" t="s">
        <v>7</v>
      </c>
      <c r="C12" s="13">
        <v>2</v>
      </c>
      <c r="D12" s="94"/>
      <c r="E12" s="95">
        <f t="shared" ref="E12:E40" si="0">D12*C12</f>
        <v>0</v>
      </c>
      <c r="F12" s="160"/>
      <c r="G12" s="97">
        <f t="shared" ref="G12:G40" si="1">C12*F12</f>
        <v>0</v>
      </c>
      <c r="H12" s="160"/>
      <c r="I12" s="97">
        <f t="shared" ref="I12:I40" si="2">C12*H12</f>
        <v>0</v>
      </c>
      <c r="J12" s="94"/>
      <c r="K12" s="98">
        <f t="shared" ref="K12:K40" si="3">C12*J12</f>
        <v>0</v>
      </c>
      <c r="L12" s="160"/>
      <c r="M12" s="97">
        <f t="shared" ref="M12:M40" si="4">C12*L12</f>
        <v>0</v>
      </c>
      <c r="N12" s="160"/>
      <c r="O12" s="97">
        <f t="shared" ref="O12:O40" si="5">C12*N12</f>
        <v>0</v>
      </c>
      <c r="P12" s="99">
        <f t="shared" ref="P12:P16" si="6">MIN(D12,F12,H12,J12,L12,N12)</f>
        <v>0</v>
      </c>
      <c r="Q12" s="100">
        <f t="shared" ref="Q12:Q16" si="7">P12*C12</f>
        <v>0</v>
      </c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</row>
    <row r="13" spans="1:28" ht="14.4" x14ac:dyDescent="0.3">
      <c r="A13" s="101" t="s">
        <v>106</v>
      </c>
      <c r="B13" s="12" t="s">
        <v>7</v>
      </c>
      <c r="C13" s="13">
        <v>2</v>
      </c>
      <c r="D13" s="94"/>
      <c r="E13" s="95">
        <f t="shared" si="0"/>
        <v>0</v>
      </c>
      <c r="F13" s="160"/>
      <c r="G13" s="97">
        <f t="shared" si="1"/>
        <v>0</v>
      </c>
      <c r="H13" s="160"/>
      <c r="I13" s="97">
        <f t="shared" si="2"/>
        <v>0</v>
      </c>
      <c r="J13" s="94"/>
      <c r="K13" s="98">
        <f t="shared" si="3"/>
        <v>0</v>
      </c>
      <c r="L13" s="160"/>
      <c r="M13" s="97">
        <f t="shared" si="4"/>
        <v>0</v>
      </c>
      <c r="N13" s="160"/>
      <c r="O13" s="97">
        <f t="shared" si="5"/>
        <v>0</v>
      </c>
      <c r="P13" s="99">
        <f t="shared" si="6"/>
        <v>0</v>
      </c>
      <c r="Q13" s="100">
        <f t="shared" si="7"/>
        <v>0</v>
      </c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</row>
    <row r="14" spans="1:28" ht="14.4" x14ac:dyDescent="0.3">
      <c r="A14" s="101" t="s">
        <v>107</v>
      </c>
      <c r="B14" s="12" t="s">
        <v>7</v>
      </c>
      <c r="C14" s="13">
        <v>2</v>
      </c>
      <c r="D14" s="94">
        <v>10016.200000000001</v>
      </c>
      <c r="E14" s="95">
        <f t="shared" si="0"/>
        <v>20032.400000000001</v>
      </c>
      <c r="F14" s="160"/>
      <c r="G14" s="97">
        <f t="shared" si="1"/>
        <v>0</v>
      </c>
      <c r="H14" s="160"/>
      <c r="I14" s="97">
        <f t="shared" si="2"/>
        <v>0</v>
      </c>
      <c r="J14" s="94"/>
      <c r="K14" s="98">
        <f t="shared" si="3"/>
        <v>0</v>
      </c>
      <c r="L14" s="160"/>
      <c r="M14" s="97">
        <f t="shared" si="4"/>
        <v>0</v>
      </c>
      <c r="N14" s="160"/>
      <c r="O14" s="97">
        <f t="shared" si="5"/>
        <v>0</v>
      </c>
      <c r="P14" s="99">
        <f t="shared" si="6"/>
        <v>10016.200000000001</v>
      </c>
      <c r="Q14" s="100">
        <f t="shared" si="7"/>
        <v>20032.400000000001</v>
      </c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</row>
    <row r="15" spans="1:28" ht="14.4" x14ac:dyDescent="0.3">
      <c r="A15" s="93" t="s">
        <v>108</v>
      </c>
      <c r="B15" s="12" t="s">
        <v>7</v>
      </c>
      <c r="C15" s="13">
        <v>2</v>
      </c>
      <c r="D15" s="94">
        <v>199</v>
      </c>
      <c r="E15" s="95">
        <f t="shared" si="0"/>
        <v>398</v>
      </c>
      <c r="F15" s="160"/>
      <c r="G15" s="97">
        <f t="shared" si="1"/>
        <v>0</v>
      </c>
      <c r="H15" s="160"/>
      <c r="I15" s="97">
        <f t="shared" si="2"/>
        <v>0</v>
      </c>
      <c r="J15" s="94"/>
      <c r="K15" s="98">
        <f t="shared" si="3"/>
        <v>0</v>
      </c>
      <c r="L15" s="160"/>
      <c r="M15" s="97">
        <f t="shared" si="4"/>
        <v>0</v>
      </c>
      <c r="N15" s="160"/>
      <c r="O15" s="97">
        <f t="shared" si="5"/>
        <v>0</v>
      </c>
      <c r="P15" s="99">
        <f t="shared" si="6"/>
        <v>199</v>
      </c>
      <c r="Q15" s="100">
        <f t="shared" si="7"/>
        <v>398</v>
      </c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</row>
    <row r="16" spans="1:28" ht="14.4" x14ac:dyDescent="0.3">
      <c r="A16" s="93" t="s">
        <v>109</v>
      </c>
      <c r="B16" s="12" t="s">
        <v>7</v>
      </c>
      <c r="C16" s="13">
        <v>1</v>
      </c>
      <c r="D16" s="94">
        <v>2241</v>
      </c>
      <c r="E16" s="95">
        <f>D16*C16</f>
        <v>2241</v>
      </c>
      <c r="F16" s="160"/>
      <c r="G16" s="97">
        <f t="shared" si="1"/>
        <v>0</v>
      </c>
      <c r="H16" s="160"/>
      <c r="I16" s="97">
        <f t="shared" si="2"/>
        <v>0</v>
      </c>
      <c r="J16" s="94"/>
      <c r="K16" s="98">
        <f t="shared" si="3"/>
        <v>0</v>
      </c>
      <c r="L16" s="160"/>
      <c r="M16" s="97">
        <f t="shared" si="4"/>
        <v>0</v>
      </c>
      <c r="N16" s="160"/>
      <c r="O16" s="97">
        <f t="shared" si="5"/>
        <v>0</v>
      </c>
      <c r="P16" s="99">
        <f t="shared" si="6"/>
        <v>2241</v>
      </c>
      <c r="Q16" s="100">
        <f t="shared" si="7"/>
        <v>2241</v>
      </c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</row>
    <row r="17" spans="1:28" ht="14.4" x14ac:dyDescent="0.3">
      <c r="A17" s="93" t="s">
        <v>110</v>
      </c>
      <c r="B17" s="12" t="s">
        <v>7</v>
      </c>
      <c r="C17" s="13">
        <v>8</v>
      </c>
      <c r="D17" s="94"/>
      <c r="E17" s="95">
        <f>D17*C17</f>
        <v>0</v>
      </c>
      <c r="F17" s="160"/>
      <c r="G17" s="97">
        <f t="shared" si="1"/>
        <v>0</v>
      </c>
      <c r="H17" s="160"/>
      <c r="I17" s="97">
        <f t="shared" si="2"/>
        <v>0</v>
      </c>
      <c r="J17" s="94"/>
      <c r="K17" s="98">
        <f t="shared" si="3"/>
        <v>0</v>
      </c>
      <c r="L17" s="160"/>
      <c r="M17" s="97">
        <f t="shared" si="4"/>
        <v>0</v>
      </c>
      <c r="N17" s="160"/>
      <c r="O17" s="97">
        <f t="shared" si="5"/>
        <v>0</v>
      </c>
      <c r="P17" s="99">
        <f>MIN(D17,F17,J17,L17,N17)</f>
        <v>0</v>
      </c>
      <c r="Q17" s="100">
        <f>P17*C17</f>
        <v>0</v>
      </c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</row>
    <row r="18" spans="1:28" ht="14.4" x14ac:dyDescent="0.3">
      <c r="A18" s="169" t="s">
        <v>111</v>
      </c>
      <c r="B18" s="12" t="s">
        <v>7</v>
      </c>
      <c r="C18" s="13">
        <v>4</v>
      </c>
      <c r="D18" s="171">
        <v>141.6</v>
      </c>
      <c r="E18" s="95">
        <f t="shared" ref="E18:E35" si="8">D18*C18</f>
        <v>566.4</v>
      </c>
      <c r="F18" s="173"/>
      <c r="G18" s="97">
        <f t="shared" si="1"/>
        <v>0</v>
      </c>
      <c r="H18" s="173"/>
      <c r="I18" s="174"/>
      <c r="J18" s="171"/>
      <c r="K18" s="175"/>
      <c r="L18" s="173"/>
      <c r="M18" s="174"/>
      <c r="N18" s="173"/>
      <c r="O18" s="174"/>
      <c r="P18" s="99">
        <f t="shared" ref="P18:P35" si="9">MIN(D18,F18,J18,L18,N18)</f>
        <v>141.6</v>
      </c>
      <c r="Q18" s="100">
        <f t="shared" ref="Q18:Q35" si="10">P18*C18</f>
        <v>566.4</v>
      </c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</row>
    <row r="19" spans="1:28" ht="14.4" x14ac:dyDescent="0.3">
      <c r="A19" s="169" t="s">
        <v>128</v>
      </c>
      <c r="B19" s="12" t="s">
        <v>7</v>
      </c>
      <c r="C19" s="170">
        <v>1</v>
      </c>
      <c r="D19" s="171">
        <v>1136</v>
      </c>
      <c r="E19" s="95">
        <f t="shared" si="8"/>
        <v>1136</v>
      </c>
      <c r="F19" s="173"/>
      <c r="G19" s="97">
        <f>C19*F19</f>
        <v>0</v>
      </c>
      <c r="H19" s="173"/>
      <c r="I19" s="174"/>
      <c r="J19" s="171"/>
      <c r="K19" s="175"/>
      <c r="L19" s="173"/>
      <c r="M19" s="174"/>
      <c r="N19" s="173"/>
      <c r="O19" s="174"/>
      <c r="P19" s="99">
        <f t="shared" si="9"/>
        <v>1136</v>
      </c>
      <c r="Q19" s="100">
        <f t="shared" si="10"/>
        <v>1136</v>
      </c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</row>
    <row r="20" spans="1:28" ht="14.4" x14ac:dyDescent="0.3">
      <c r="A20" s="169" t="s">
        <v>127</v>
      </c>
      <c r="B20" s="12" t="s">
        <v>7</v>
      </c>
      <c r="C20" s="170">
        <v>1</v>
      </c>
      <c r="D20" s="171">
        <v>1026</v>
      </c>
      <c r="E20" s="95">
        <f t="shared" si="8"/>
        <v>1026</v>
      </c>
      <c r="F20" s="173"/>
      <c r="G20" s="97">
        <f t="shared" si="1"/>
        <v>0</v>
      </c>
      <c r="H20" s="173"/>
      <c r="I20" s="174"/>
      <c r="J20" s="171"/>
      <c r="K20" s="175"/>
      <c r="L20" s="173"/>
      <c r="M20" s="174"/>
      <c r="N20" s="173"/>
      <c r="O20" s="174"/>
      <c r="P20" s="99">
        <f t="shared" si="9"/>
        <v>1026</v>
      </c>
      <c r="Q20" s="100">
        <f t="shared" si="10"/>
        <v>1026</v>
      </c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</row>
    <row r="21" spans="1:28" ht="14.4" x14ac:dyDescent="0.3">
      <c r="A21" s="169" t="s">
        <v>112</v>
      </c>
      <c r="B21" s="12" t="s">
        <v>7</v>
      </c>
      <c r="C21" s="170">
        <v>1</v>
      </c>
      <c r="D21" s="171">
        <v>1196</v>
      </c>
      <c r="E21" s="95">
        <f t="shared" si="8"/>
        <v>1196</v>
      </c>
      <c r="F21" s="173"/>
      <c r="G21" s="97">
        <f t="shared" si="1"/>
        <v>0</v>
      </c>
      <c r="H21" s="173"/>
      <c r="I21" s="174"/>
      <c r="J21" s="171"/>
      <c r="K21" s="175"/>
      <c r="L21" s="173"/>
      <c r="M21" s="174"/>
      <c r="N21" s="173"/>
      <c r="O21" s="174"/>
      <c r="P21" s="99">
        <f t="shared" si="9"/>
        <v>1196</v>
      </c>
      <c r="Q21" s="100">
        <f t="shared" si="10"/>
        <v>1196</v>
      </c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</row>
    <row r="22" spans="1:28" ht="14.4" x14ac:dyDescent="0.3">
      <c r="A22" s="169" t="s">
        <v>113</v>
      </c>
      <c r="B22" s="12" t="s">
        <v>7</v>
      </c>
      <c r="C22" s="170">
        <v>2</v>
      </c>
      <c r="D22" s="171">
        <v>5641.6</v>
      </c>
      <c r="E22" s="95">
        <f t="shared" si="8"/>
        <v>11283.2</v>
      </c>
      <c r="F22" s="173"/>
      <c r="G22" s="97">
        <f t="shared" si="1"/>
        <v>0</v>
      </c>
      <c r="H22" s="173"/>
      <c r="I22" s="174"/>
      <c r="J22" s="171"/>
      <c r="K22" s="175"/>
      <c r="L22" s="173"/>
      <c r="M22" s="174"/>
      <c r="N22" s="173"/>
      <c r="O22" s="174"/>
      <c r="P22" s="99">
        <f t="shared" si="9"/>
        <v>5641.6</v>
      </c>
      <c r="Q22" s="100">
        <f t="shared" si="10"/>
        <v>11283.2</v>
      </c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</row>
    <row r="23" spans="1:28" ht="14.4" x14ac:dyDescent="0.3">
      <c r="A23" s="169" t="s">
        <v>114</v>
      </c>
      <c r="B23" s="12" t="s">
        <v>7</v>
      </c>
      <c r="C23" s="170">
        <v>1</v>
      </c>
      <c r="D23" s="171">
        <v>2590</v>
      </c>
      <c r="E23" s="95">
        <f t="shared" si="8"/>
        <v>2590</v>
      </c>
      <c r="F23" s="173"/>
      <c r="G23" s="97">
        <f t="shared" si="1"/>
        <v>0</v>
      </c>
      <c r="H23" s="173"/>
      <c r="I23" s="174"/>
      <c r="J23" s="171"/>
      <c r="K23" s="175"/>
      <c r="L23" s="173"/>
      <c r="M23" s="174"/>
      <c r="N23" s="173"/>
      <c r="O23" s="174"/>
      <c r="P23" s="99">
        <f t="shared" si="9"/>
        <v>2590</v>
      </c>
      <c r="Q23" s="100">
        <f t="shared" si="10"/>
        <v>2590</v>
      </c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</row>
    <row r="24" spans="1:28" ht="14.4" x14ac:dyDescent="0.3">
      <c r="A24" s="169" t="s">
        <v>115</v>
      </c>
      <c r="B24" s="12" t="s">
        <v>7</v>
      </c>
      <c r="C24" s="170">
        <v>1</v>
      </c>
      <c r="D24" s="171">
        <v>4949</v>
      </c>
      <c r="E24" s="95">
        <f t="shared" si="8"/>
        <v>4949</v>
      </c>
      <c r="F24" s="173"/>
      <c r="G24" s="97">
        <f t="shared" si="1"/>
        <v>0</v>
      </c>
      <c r="H24" s="173"/>
      <c r="I24" s="174"/>
      <c r="J24" s="171"/>
      <c r="K24" s="175"/>
      <c r="L24" s="173"/>
      <c r="M24" s="174"/>
      <c r="N24" s="173"/>
      <c r="O24" s="174"/>
      <c r="P24" s="99">
        <f t="shared" si="9"/>
        <v>4949</v>
      </c>
      <c r="Q24" s="100">
        <f t="shared" si="10"/>
        <v>4949</v>
      </c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</row>
    <row r="25" spans="1:28" ht="14.4" x14ac:dyDescent="0.3">
      <c r="A25" s="169" t="s">
        <v>116</v>
      </c>
      <c r="B25" s="12" t="s">
        <v>7</v>
      </c>
      <c r="C25" s="170">
        <v>1</v>
      </c>
      <c r="D25" s="171"/>
      <c r="E25" s="95">
        <f t="shared" si="8"/>
        <v>0</v>
      </c>
      <c r="F25" s="173"/>
      <c r="G25" s="97">
        <f t="shared" si="1"/>
        <v>0</v>
      </c>
      <c r="H25" s="173"/>
      <c r="I25" s="174"/>
      <c r="J25" s="171"/>
      <c r="K25" s="175"/>
      <c r="L25" s="173"/>
      <c r="M25" s="174"/>
      <c r="N25" s="173"/>
      <c r="O25" s="174"/>
      <c r="P25" s="99">
        <f t="shared" si="9"/>
        <v>0</v>
      </c>
      <c r="Q25" s="100">
        <f t="shared" si="10"/>
        <v>0</v>
      </c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</row>
    <row r="26" spans="1:28" ht="14.4" x14ac:dyDescent="0.3">
      <c r="A26" s="169" t="s">
        <v>117</v>
      </c>
      <c r="B26" s="12" t="s">
        <v>7</v>
      </c>
      <c r="C26" s="170">
        <v>2</v>
      </c>
      <c r="D26" s="171">
        <v>3419.2</v>
      </c>
      <c r="E26" s="95">
        <f t="shared" si="8"/>
        <v>6838.4</v>
      </c>
      <c r="F26" s="173"/>
      <c r="G26" s="97">
        <f t="shared" si="1"/>
        <v>0</v>
      </c>
      <c r="H26" s="173"/>
      <c r="I26" s="174"/>
      <c r="J26" s="171"/>
      <c r="K26" s="175"/>
      <c r="L26" s="173"/>
      <c r="M26" s="174"/>
      <c r="N26" s="173"/>
      <c r="O26" s="174"/>
      <c r="P26" s="99">
        <f t="shared" si="9"/>
        <v>3419.2</v>
      </c>
      <c r="Q26" s="100">
        <f t="shared" si="10"/>
        <v>6838.4</v>
      </c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</row>
    <row r="27" spans="1:28" ht="14.4" x14ac:dyDescent="0.3">
      <c r="A27" s="169" t="s">
        <v>118</v>
      </c>
      <c r="B27" s="12" t="s">
        <v>7</v>
      </c>
      <c r="C27" s="170">
        <v>9</v>
      </c>
      <c r="D27" s="171"/>
      <c r="E27" s="95">
        <f t="shared" si="8"/>
        <v>0</v>
      </c>
      <c r="F27" s="173"/>
      <c r="G27" s="97">
        <f t="shared" si="1"/>
        <v>0</v>
      </c>
      <c r="H27" s="173"/>
      <c r="I27" s="174"/>
      <c r="J27" s="171"/>
      <c r="K27" s="175"/>
      <c r="L27" s="173"/>
      <c r="M27" s="174"/>
      <c r="N27" s="173"/>
      <c r="O27" s="174"/>
      <c r="P27" s="99">
        <f t="shared" si="9"/>
        <v>0</v>
      </c>
      <c r="Q27" s="100">
        <f t="shared" si="10"/>
        <v>0</v>
      </c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spans="1:28" ht="14.4" x14ac:dyDescent="0.3">
      <c r="A28" s="169" t="s">
        <v>119</v>
      </c>
      <c r="B28" s="12" t="s">
        <v>7</v>
      </c>
      <c r="C28" s="170">
        <v>8</v>
      </c>
      <c r="D28" s="171">
        <v>970</v>
      </c>
      <c r="E28" s="95">
        <f t="shared" si="8"/>
        <v>7760</v>
      </c>
      <c r="F28" s="173"/>
      <c r="G28" s="97">
        <f t="shared" si="1"/>
        <v>0</v>
      </c>
      <c r="H28" s="173"/>
      <c r="I28" s="174"/>
      <c r="J28" s="171"/>
      <c r="K28" s="175"/>
      <c r="L28" s="173"/>
      <c r="M28" s="174"/>
      <c r="N28" s="173"/>
      <c r="O28" s="174"/>
      <c r="P28" s="99">
        <f t="shared" si="9"/>
        <v>970</v>
      </c>
      <c r="Q28" s="100">
        <f t="shared" si="10"/>
        <v>7760</v>
      </c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</row>
    <row r="29" spans="1:28" ht="14.4" x14ac:dyDescent="0.3">
      <c r="A29" s="169" t="s">
        <v>120</v>
      </c>
      <c r="B29" s="12" t="s">
        <v>7</v>
      </c>
      <c r="C29" s="170">
        <v>8</v>
      </c>
      <c r="D29" s="171">
        <v>1464.8</v>
      </c>
      <c r="E29" s="95">
        <f t="shared" si="8"/>
        <v>11718.4</v>
      </c>
      <c r="F29" s="173"/>
      <c r="G29" s="97">
        <f t="shared" si="1"/>
        <v>0</v>
      </c>
      <c r="H29" s="173"/>
      <c r="I29" s="174"/>
      <c r="J29" s="171"/>
      <c r="K29" s="175"/>
      <c r="L29" s="173"/>
      <c r="M29" s="174"/>
      <c r="N29" s="173"/>
      <c r="O29" s="174"/>
      <c r="P29" s="99">
        <f t="shared" si="9"/>
        <v>1464.8</v>
      </c>
      <c r="Q29" s="100">
        <f t="shared" si="10"/>
        <v>11718.4</v>
      </c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</row>
    <row r="30" spans="1:28" ht="14.4" x14ac:dyDescent="0.3">
      <c r="A30" s="169" t="s">
        <v>121</v>
      </c>
      <c r="B30" s="12" t="s">
        <v>7</v>
      </c>
      <c r="C30" s="170">
        <v>2</v>
      </c>
      <c r="D30" s="171"/>
      <c r="E30" s="95">
        <f t="shared" si="8"/>
        <v>0</v>
      </c>
      <c r="F30" s="173"/>
      <c r="G30" s="97">
        <f t="shared" si="1"/>
        <v>0</v>
      </c>
      <c r="H30" s="173"/>
      <c r="I30" s="174"/>
      <c r="J30" s="171"/>
      <c r="K30" s="175"/>
      <c r="L30" s="173"/>
      <c r="M30" s="174"/>
      <c r="N30" s="173"/>
      <c r="O30" s="174"/>
      <c r="P30" s="99">
        <f t="shared" si="9"/>
        <v>0</v>
      </c>
      <c r="Q30" s="100">
        <f t="shared" si="10"/>
        <v>0</v>
      </c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</row>
    <row r="31" spans="1:28" ht="14.4" x14ac:dyDescent="0.3">
      <c r="A31" s="169" t="s">
        <v>126</v>
      </c>
      <c r="B31" s="12" t="s">
        <v>7</v>
      </c>
      <c r="C31" s="170">
        <v>4</v>
      </c>
      <c r="D31" s="171">
        <v>3736</v>
      </c>
      <c r="E31" s="95">
        <f t="shared" si="8"/>
        <v>14944</v>
      </c>
      <c r="F31" s="173"/>
      <c r="G31" s="97">
        <f t="shared" si="1"/>
        <v>0</v>
      </c>
      <c r="H31" s="173"/>
      <c r="I31" s="174"/>
      <c r="J31" s="171"/>
      <c r="K31" s="175"/>
      <c r="L31" s="173"/>
      <c r="M31" s="174"/>
      <c r="N31" s="173"/>
      <c r="O31" s="174"/>
      <c r="P31" s="99">
        <f t="shared" si="9"/>
        <v>3736</v>
      </c>
      <c r="Q31" s="100">
        <f t="shared" si="10"/>
        <v>14944</v>
      </c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</row>
    <row r="32" spans="1:28" ht="14.4" x14ac:dyDescent="0.3">
      <c r="A32" s="169" t="s">
        <v>122</v>
      </c>
      <c r="B32" s="12" t="s">
        <v>7</v>
      </c>
      <c r="C32" s="170">
        <v>3</v>
      </c>
      <c r="D32" s="171">
        <v>8720.7999999999993</v>
      </c>
      <c r="E32" s="95">
        <f t="shared" si="8"/>
        <v>26162.399999999998</v>
      </c>
      <c r="F32" s="173"/>
      <c r="G32" s="97">
        <f t="shared" si="1"/>
        <v>0</v>
      </c>
      <c r="H32" s="173"/>
      <c r="I32" s="174"/>
      <c r="J32" s="171"/>
      <c r="K32" s="175"/>
      <c r="L32" s="173"/>
      <c r="M32" s="174"/>
      <c r="N32" s="173"/>
      <c r="O32" s="174"/>
      <c r="P32" s="99">
        <f t="shared" si="9"/>
        <v>8720.7999999999993</v>
      </c>
      <c r="Q32" s="100">
        <f t="shared" si="10"/>
        <v>26162.399999999998</v>
      </c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4.4" x14ac:dyDescent="0.3">
      <c r="A33" s="169" t="s">
        <v>123</v>
      </c>
      <c r="B33" s="12" t="s">
        <v>7</v>
      </c>
      <c r="C33" s="170">
        <v>20</v>
      </c>
      <c r="D33" s="171">
        <v>141.6</v>
      </c>
      <c r="E33" s="95">
        <f t="shared" si="8"/>
        <v>2832</v>
      </c>
      <c r="F33" s="173"/>
      <c r="G33" s="97">
        <f t="shared" si="1"/>
        <v>0</v>
      </c>
      <c r="H33" s="173"/>
      <c r="I33" s="174"/>
      <c r="J33" s="171"/>
      <c r="K33" s="175"/>
      <c r="L33" s="173"/>
      <c r="M33" s="174"/>
      <c r="N33" s="173"/>
      <c r="O33" s="174"/>
      <c r="P33" s="99">
        <f t="shared" si="9"/>
        <v>141.6</v>
      </c>
      <c r="Q33" s="100">
        <f t="shared" si="10"/>
        <v>2832</v>
      </c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</row>
    <row r="34" spans="1:28" ht="14.4" x14ac:dyDescent="0.3">
      <c r="A34" s="169" t="s">
        <v>124</v>
      </c>
      <c r="B34" s="12" t="s">
        <v>7</v>
      </c>
      <c r="C34" s="170">
        <v>2</v>
      </c>
      <c r="D34" s="171"/>
      <c r="E34" s="95">
        <f t="shared" si="8"/>
        <v>0</v>
      </c>
      <c r="F34" s="173"/>
      <c r="G34" s="97">
        <f t="shared" si="1"/>
        <v>0</v>
      </c>
      <c r="H34" s="173"/>
      <c r="I34" s="174"/>
      <c r="J34" s="171"/>
      <c r="K34" s="175"/>
      <c r="L34" s="173"/>
      <c r="M34" s="174"/>
      <c r="N34" s="173"/>
      <c r="O34" s="174"/>
      <c r="P34" s="99">
        <f t="shared" si="9"/>
        <v>0</v>
      </c>
      <c r="Q34" s="100">
        <f t="shared" si="10"/>
        <v>0</v>
      </c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</row>
    <row r="35" spans="1:28" ht="14.4" x14ac:dyDescent="0.3">
      <c r="A35" s="169" t="s">
        <v>125</v>
      </c>
      <c r="B35" s="12" t="s">
        <v>7</v>
      </c>
      <c r="C35" s="170">
        <v>1</v>
      </c>
      <c r="D35" s="171"/>
      <c r="E35" s="95">
        <f t="shared" si="8"/>
        <v>0</v>
      </c>
      <c r="F35" s="173"/>
      <c r="G35" s="97">
        <f t="shared" si="1"/>
        <v>0</v>
      </c>
      <c r="H35" s="173"/>
      <c r="I35" s="174"/>
      <c r="J35" s="171"/>
      <c r="K35" s="175"/>
      <c r="L35" s="173"/>
      <c r="M35" s="174"/>
      <c r="N35" s="173"/>
      <c r="O35" s="174"/>
      <c r="P35" s="99">
        <f t="shared" si="9"/>
        <v>0</v>
      </c>
      <c r="Q35" s="100">
        <f t="shared" si="10"/>
        <v>0</v>
      </c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1:28" ht="14.4" x14ac:dyDescent="0.3">
      <c r="A36" s="169"/>
      <c r="B36" s="12"/>
      <c r="C36" s="170"/>
      <c r="D36" s="171"/>
      <c r="E36" s="172"/>
      <c r="F36" s="173"/>
      <c r="G36" s="174"/>
      <c r="H36" s="173"/>
      <c r="I36" s="174"/>
      <c r="J36" s="171"/>
      <c r="K36" s="175"/>
      <c r="L36" s="173"/>
      <c r="M36" s="174"/>
      <c r="N36" s="173"/>
      <c r="O36" s="174"/>
      <c r="P36" s="176"/>
      <c r="Q36" s="177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</row>
    <row r="37" spans="1:28" ht="14.4" x14ac:dyDescent="0.3">
      <c r="A37" s="169"/>
      <c r="B37" s="12"/>
      <c r="C37" s="170"/>
      <c r="D37" s="171"/>
      <c r="E37" s="172"/>
      <c r="F37" s="173"/>
      <c r="G37" s="174"/>
      <c r="H37" s="173"/>
      <c r="I37" s="174"/>
      <c r="J37" s="171"/>
      <c r="K37" s="175"/>
      <c r="L37" s="173"/>
      <c r="M37" s="174"/>
      <c r="N37" s="173"/>
      <c r="O37" s="174"/>
      <c r="P37" s="176"/>
      <c r="Q37" s="177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</row>
    <row r="38" spans="1:28" ht="14.4" x14ac:dyDescent="0.3">
      <c r="A38" s="169"/>
      <c r="B38" s="12"/>
      <c r="C38" s="170"/>
      <c r="D38" s="171"/>
      <c r="E38" s="172"/>
      <c r="F38" s="173"/>
      <c r="G38" s="174"/>
      <c r="H38" s="173"/>
      <c r="I38" s="174"/>
      <c r="J38" s="171"/>
      <c r="K38" s="175"/>
      <c r="L38" s="173"/>
      <c r="M38" s="174"/>
      <c r="N38" s="173"/>
      <c r="O38" s="174"/>
      <c r="P38" s="176"/>
      <c r="Q38" s="177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</row>
    <row r="39" spans="1:28" ht="14.4" x14ac:dyDescent="0.3">
      <c r="A39" s="169"/>
      <c r="B39" s="12"/>
      <c r="C39" s="170"/>
      <c r="D39" s="171"/>
      <c r="E39" s="172"/>
      <c r="F39" s="173"/>
      <c r="G39" s="174"/>
      <c r="H39" s="173"/>
      <c r="I39" s="174"/>
      <c r="J39" s="171"/>
      <c r="K39" s="175"/>
      <c r="L39" s="173"/>
      <c r="M39" s="174"/>
      <c r="N39" s="173"/>
      <c r="O39" s="174"/>
      <c r="P39" s="176"/>
      <c r="Q39" s="177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</row>
    <row r="40" spans="1:28" thickBot="1" x14ac:dyDescent="0.35">
      <c r="A40" s="109"/>
      <c r="B40" s="12" t="s">
        <v>7</v>
      </c>
      <c r="C40" s="25"/>
      <c r="D40" s="111"/>
      <c r="E40" s="112">
        <f t="shared" si="0"/>
        <v>0</v>
      </c>
      <c r="F40" s="113"/>
      <c r="G40" s="114">
        <f t="shared" si="1"/>
        <v>0</v>
      </c>
      <c r="H40" s="113"/>
      <c r="I40" s="114">
        <f t="shared" si="2"/>
        <v>0</v>
      </c>
      <c r="J40" s="111"/>
      <c r="K40" s="115">
        <f t="shared" si="3"/>
        <v>0</v>
      </c>
      <c r="L40" s="113"/>
      <c r="M40" s="114">
        <f t="shared" si="4"/>
        <v>0</v>
      </c>
      <c r="N40" s="113"/>
      <c r="O40" s="114">
        <f t="shared" si="5"/>
        <v>0</v>
      </c>
      <c r="P40" s="116"/>
      <c r="Q40" s="117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</row>
    <row r="41" spans="1:28" ht="15.6" thickBot="1" x14ac:dyDescent="0.35">
      <c r="A41" s="272" t="s">
        <v>66</v>
      </c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</row>
    <row r="42" spans="1:28" thickBot="1" x14ac:dyDescent="0.35">
      <c r="A42" s="32" t="s">
        <v>17</v>
      </c>
      <c r="B42" s="274"/>
      <c r="C42" s="275"/>
      <c r="D42" s="118"/>
      <c r="E42" s="119">
        <f>+SUM(E12:E40)</f>
        <v>115673.2</v>
      </c>
      <c r="F42" s="33"/>
      <c r="G42" s="120">
        <f>+SUM(G12:G40)</f>
        <v>0</v>
      </c>
      <c r="H42" s="161"/>
      <c r="I42" s="120">
        <f>+SUM(I12:I40)</f>
        <v>0</v>
      </c>
      <c r="J42" s="33"/>
      <c r="K42" s="120">
        <f>+SUM(K12:K41)</f>
        <v>0</v>
      </c>
      <c r="L42" s="33"/>
      <c r="M42" s="120">
        <f>+SUM(M12:M40)</f>
        <v>0</v>
      </c>
      <c r="N42" s="33"/>
      <c r="O42" s="120">
        <f>+SUM(O12:O41)</f>
        <v>0</v>
      </c>
      <c r="P42" s="36"/>
      <c r="Q42" s="120">
        <f>+SUM(Q12:Q41)</f>
        <v>115673.2</v>
      </c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</row>
    <row r="43" spans="1:28" ht="15.75" customHeight="1" thickBot="1" x14ac:dyDescent="0.35">
      <c r="A43" s="37"/>
      <c r="B43" s="38"/>
      <c r="C43" s="38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</row>
    <row r="44" spans="1:28" ht="15.75" customHeight="1" x14ac:dyDescent="0.3">
      <c r="A44" s="40" t="s">
        <v>18</v>
      </c>
      <c r="B44" s="276"/>
      <c r="C44" s="271"/>
      <c r="D44" s="122">
        <v>0</v>
      </c>
      <c r="E44" s="123">
        <f>+E42*D44</f>
        <v>0</v>
      </c>
      <c r="F44" s="41"/>
      <c r="G44" s="124">
        <f>+G42*F44</f>
        <v>0</v>
      </c>
      <c r="H44" s="162"/>
      <c r="I44" s="124">
        <f>+I42*H44</f>
        <v>0</v>
      </c>
      <c r="J44" s="41"/>
      <c r="K44" s="124">
        <f>+K42*J44</f>
        <v>0</v>
      </c>
      <c r="L44" s="41"/>
      <c r="M44" s="124">
        <f>+M42*L44</f>
        <v>0</v>
      </c>
      <c r="N44" s="41"/>
      <c r="O44" s="124">
        <f>+O42*N44</f>
        <v>0</v>
      </c>
      <c r="P44" s="125"/>
      <c r="Q44" s="124">
        <f>+Q42*P44</f>
        <v>0</v>
      </c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</row>
    <row r="45" spans="1:28" ht="15.75" customHeight="1" x14ac:dyDescent="0.3">
      <c r="A45" s="45" t="s">
        <v>19</v>
      </c>
      <c r="B45" s="277">
        <v>1</v>
      </c>
      <c r="C45" s="278"/>
      <c r="D45" s="126"/>
      <c r="E45" s="127"/>
      <c r="F45" s="126"/>
      <c r="G45" s="128"/>
      <c r="H45" s="163"/>
      <c r="I45" s="128"/>
      <c r="J45" s="126"/>
      <c r="K45" s="128"/>
      <c r="L45" s="126"/>
      <c r="M45" s="128"/>
      <c r="N45" s="126"/>
      <c r="O45" s="128"/>
      <c r="P45" s="129"/>
      <c r="Q45" s="128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spans="1:28" ht="15.75" customHeight="1" x14ac:dyDescent="0.3">
      <c r="A46" s="45" t="s">
        <v>20</v>
      </c>
      <c r="B46" s="277"/>
      <c r="C46" s="278"/>
      <c r="D46" s="126"/>
      <c r="E46" s="127">
        <f>+E42-E44</f>
        <v>115673.2</v>
      </c>
      <c r="F46" s="126"/>
      <c r="G46" s="128">
        <f>+G42-G44</f>
        <v>0</v>
      </c>
      <c r="H46" s="163"/>
      <c r="I46" s="128">
        <f>+I42-I44</f>
        <v>0</v>
      </c>
      <c r="J46" s="126"/>
      <c r="K46" s="128">
        <f>+K42-K44</f>
        <v>0</v>
      </c>
      <c r="L46" s="126"/>
      <c r="M46" s="128">
        <f>+M42-M44</f>
        <v>0</v>
      </c>
      <c r="N46" s="126"/>
      <c r="O46" s="128">
        <f>+O42-O44</f>
        <v>0</v>
      </c>
      <c r="P46" s="129"/>
      <c r="Q46" s="128">
        <f>+Q42-Q44</f>
        <v>115673.2</v>
      </c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</row>
    <row r="47" spans="1:28" ht="15.75" customHeight="1" x14ac:dyDescent="0.3">
      <c r="A47" s="45" t="s">
        <v>21</v>
      </c>
      <c r="B47" s="279">
        <v>0.21</v>
      </c>
      <c r="C47" s="278"/>
      <c r="D47" s="126"/>
      <c r="E47" s="127">
        <f>(+E46)*B47</f>
        <v>24291.371999999999</v>
      </c>
      <c r="F47" s="126"/>
      <c r="G47" s="128">
        <f>(+G46)*B47</f>
        <v>0</v>
      </c>
      <c r="H47" s="163"/>
      <c r="I47" s="128">
        <f>(+I46)*D47</f>
        <v>0</v>
      </c>
      <c r="J47" s="126"/>
      <c r="K47" s="128">
        <f>(+K46)*B47</f>
        <v>0</v>
      </c>
      <c r="L47" s="126"/>
      <c r="M47" s="128">
        <f>(+M46)*B47</f>
        <v>0</v>
      </c>
      <c r="N47" s="126"/>
      <c r="O47" s="128">
        <f>(+O46)*B47</f>
        <v>0</v>
      </c>
      <c r="P47" s="129"/>
      <c r="Q47" s="128">
        <f>Q46*B47</f>
        <v>24291.371999999999</v>
      </c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</row>
    <row r="48" spans="1:28" ht="15.75" customHeight="1" x14ac:dyDescent="0.3">
      <c r="A48" s="50" t="s">
        <v>22</v>
      </c>
      <c r="B48" s="51"/>
      <c r="C48" s="52"/>
      <c r="D48" s="130"/>
      <c r="E48" s="131"/>
      <c r="F48" s="130"/>
      <c r="G48" s="132"/>
      <c r="H48" s="164"/>
      <c r="I48" s="132"/>
      <c r="J48" s="130"/>
      <c r="K48" s="132"/>
      <c r="L48" s="130"/>
      <c r="M48" s="132"/>
      <c r="N48" s="130"/>
      <c r="O48" s="132"/>
      <c r="P48" s="133"/>
      <c r="Q48" s="132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</row>
    <row r="49" spans="1:28" ht="15.75" customHeight="1" thickBot="1" x14ac:dyDescent="0.35">
      <c r="A49" s="57" t="s">
        <v>45</v>
      </c>
      <c r="B49" s="58"/>
      <c r="C49" s="59"/>
      <c r="D49" s="134"/>
      <c r="E49" s="135"/>
      <c r="F49" s="134"/>
      <c r="G49" s="136"/>
      <c r="H49" s="165"/>
      <c r="I49" s="136"/>
      <c r="J49" s="134"/>
      <c r="K49" s="136"/>
      <c r="L49" s="134"/>
      <c r="M49" s="136"/>
      <c r="N49" s="134"/>
      <c r="O49" s="136"/>
      <c r="P49" s="137"/>
      <c r="Q49" s="136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</row>
    <row r="50" spans="1:28" ht="15.75" customHeight="1" thickBot="1" x14ac:dyDescent="0.35">
      <c r="A50" s="37"/>
      <c r="B50" s="38"/>
      <c r="C50" s="38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</row>
    <row r="51" spans="1:28" ht="15.75" customHeight="1" thickBot="1" x14ac:dyDescent="0.35">
      <c r="A51" s="66" t="s">
        <v>23</v>
      </c>
      <c r="B51" s="67"/>
      <c r="C51" s="68"/>
      <c r="D51" s="69"/>
      <c r="E51" s="138">
        <f>+E46+E47+E49+E48</f>
        <v>139964.57199999999</v>
      </c>
      <c r="F51" s="139"/>
      <c r="G51" s="138">
        <f>+G46+G47+G49+G48</f>
        <v>0</v>
      </c>
      <c r="H51" s="166"/>
      <c r="I51" s="138">
        <f>+I46+I47+I49+I48</f>
        <v>0</v>
      </c>
      <c r="J51" s="139"/>
      <c r="K51" s="138">
        <f>+K46+K47+K49+K48</f>
        <v>0</v>
      </c>
      <c r="L51" s="139"/>
      <c r="M51" s="138">
        <f>+M46+M47+M49+M48</f>
        <v>0</v>
      </c>
      <c r="N51" s="69"/>
      <c r="O51" s="72">
        <f>+O46+O47+O49+O48</f>
        <v>0</v>
      </c>
      <c r="P51" s="69"/>
      <c r="Q51" s="138">
        <f>SUM(Q46:Q49)</f>
        <v>139964.57199999999</v>
      </c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</row>
    <row r="52" spans="1:28" ht="15.75" customHeight="1" thickBot="1" x14ac:dyDescent="0.35">
      <c r="A52" s="73" t="s">
        <v>24</v>
      </c>
      <c r="B52" s="280"/>
      <c r="C52" s="269"/>
      <c r="D52" s="266"/>
      <c r="E52" s="269"/>
      <c r="F52" s="266"/>
      <c r="G52" s="269"/>
      <c r="H52" s="167"/>
      <c r="I52" s="167"/>
      <c r="J52" s="266"/>
      <c r="K52" s="269"/>
      <c r="L52" s="289"/>
      <c r="M52" s="269"/>
      <c r="N52" s="289"/>
      <c r="O52" s="269"/>
      <c r="P52" s="308"/>
      <c r="Q52" s="269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</row>
    <row r="53" spans="1:28" ht="15.75" customHeight="1" x14ac:dyDescent="0.3">
      <c r="A53" s="74"/>
      <c r="B53" s="74"/>
      <c r="C53" s="74"/>
      <c r="D53" s="74" t="s">
        <v>130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</row>
    <row r="54" spans="1:28" ht="15.75" customHeight="1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</row>
    <row r="55" spans="1:28" ht="15.75" customHeight="1" x14ac:dyDescent="0.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spans="1:28" ht="15.75" customHeight="1" x14ac:dyDescent="0.3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</row>
    <row r="57" spans="1:28" ht="15.75" customHeight="1" x14ac:dyDescent="0.3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 spans="1:28" ht="15.75" customHeight="1" x14ac:dyDescent="0.3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 spans="1:28" ht="15.75" customHeight="1" x14ac:dyDescent="0.3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</row>
    <row r="60" spans="1:28" ht="15.75" customHeight="1" x14ac:dyDescent="0.3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 spans="1:28" ht="15.75" customHeight="1" x14ac:dyDescent="0.3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</row>
    <row r="62" spans="1:28" ht="15.75" customHeigh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</row>
    <row r="63" spans="1:28" ht="15.75" customHeigh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 spans="1:28" ht="15.75" customHeight="1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 spans="1:28" ht="15.75" customHeigh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 spans="1:28" ht="15.75" customHeight="1" x14ac:dyDescent="0.3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 spans="1:28" ht="15.75" customHeigh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 spans="1:28" ht="15.75" customHeight="1" x14ac:dyDescent="0.3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 spans="1:28" ht="15.75" customHeight="1" x14ac:dyDescent="0.3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 spans="1:28" ht="15.75" customHeight="1" x14ac:dyDescent="0.3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</row>
    <row r="71" spans="1:28" ht="15.75" customHeight="1" x14ac:dyDescent="0.3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 spans="1:28" ht="15.75" customHeight="1" x14ac:dyDescent="0.3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</row>
    <row r="73" spans="1:28" ht="15.75" customHeight="1" x14ac:dyDescent="0.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 spans="1:28" ht="15.75" customHeight="1" x14ac:dyDescent="0.3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 spans="1:28" ht="15.75" customHeight="1" x14ac:dyDescent="0.3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 spans="1:28" ht="15.75" customHeight="1" x14ac:dyDescent="0.3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 spans="1:28" ht="15.75" customHeight="1" x14ac:dyDescent="0.3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 spans="1:28" ht="15.75" customHeight="1" x14ac:dyDescent="0.3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 spans="1:28" ht="15.75" customHeight="1" x14ac:dyDescent="0.3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</row>
    <row r="80" spans="1:28" ht="15.75" customHeight="1" x14ac:dyDescent="0.3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 spans="1:28" ht="15.75" customHeight="1" x14ac:dyDescent="0.3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</row>
    <row r="82" spans="1:28" ht="15.75" customHeight="1" x14ac:dyDescent="0.3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 spans="1:28" ht="15.75" customHeight="1" x14ac:dyDescent="0.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 spans="1:28" ht="15.75" customHeight="1" x14ac:dyDescent="0.3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 spans="1:28" ht="15.75" customHeight="1" x14ac:dyDescent="0.3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</row>
    <row r="86" spans="1:28" ht="15.75" customHeight="1" x14ac:dyDescent="0.3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spans="1:28" ht="15.75" customHeight="1" x14ac:dyDescent="0.3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 spans="1:28" ht="15.75" customHeight="1" x14ac:dyDescent="0.3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</row>
    <row r="89" spans="1:28" ht="15.75" customHeight="1" x14ac:dyDescent="0.3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 spans="1:28" ht="15.75" customHeight="1" x14ac:dyDescent="0.3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</row>
    <row r="91" spans="1:28" ht="15.75" customHeight="1" x14ac:dyDescent="0.3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 spans="1:28" ht="15.75" customHeight="1" x14ac:dyDescent="0.3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5.75" customHeight="1" x14ac:dyDescent="0.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</row>
    <row r="94" spans="1:28" ht="15.75" customHeight="1" x14ac:dyDescent="0.3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 spans="1:28" ht="15.75" customHeight="1" x14ac:dyDescent="0.3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 spans="1:28" ht="15.75" customHeight="1" x14ac:dyDescent="0.3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 spans="1:28" ht="15.75" customHeight="1" x14ac:dyDescent="0.3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1:28" ht="15.75" customHeight="1" x14ac:dyDescent="0.3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</row>
    <row r="99" spans="1:28" ht="15.75" customHeight="1" x14ac:dyDescent="0.3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 spans="1:28" ht="15.75" customHeight="1" x14ac:dyDescent="0.3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</row>
    <row r="101" spans="1:28" ht="15.75" customHeight="1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 spans="1:28" ht="15.75" customHeight="1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 spans="1:28" ht="15.75" customHeight="1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 spans="1:28" ht="15.75" customHeight="1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 spans="1:28" ht="15.75" customHeight="1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 spans="1:28" ht="15.75" customHeight="1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 spans="1:28" ht="15.75" customHeight="1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spans="1:28" ht="15.75" customHeight="1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 spans="1:28" ht="15.75" customHeight="1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</row>
    <row r="110" spans="1:28" ht="15.75" customHeight="1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 spans="1:28" ht="15.75" customHeight="1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 spans="1:28" ht="15.75" customHeight="1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</row>
    <row r="113" spans="1:28" ht="15.75" customHeight="1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 spans="1:28" ht="15.75" customHeight="1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 spans="1:28" ht="15.75" customHeight="1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 spans="1:28" ht="15.75" customHeight="1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</row>
    <row r="117" spans="1:28" ht="15.75" customHeight="1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 spans="1:28" ht="15.75" customHeight="1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 spans="1:28" ht="15.75" customHeight="1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</row>
    <row r="120" spans="1:28" ht="15.75" customHeight="1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 spans="1:28" ht="15.75" customHeight="1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 spans="1:28" ht="15.75" customHeight="1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 spans="1:28" ht="15.75" customHeight="1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 spans="1:28" ht="15.75" customHeight="1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</row>
    <row r="125" spans="1:28" ht="15.75" customHeight="1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 spans="1:28" ht="15.75" customHeight="1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 spans="1:28" ht="15.75" customHeight="1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 spans="1:28" ht="15.75" customHeight="1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spans="1:28" ht="15.75" customHeight="1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 spans="1:28" ht="15.75" customHeight="1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 spans="1:28" ht="15.75" customHeight="1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</row>
    <row r="132" spans="1:28" ht="15.75" customHeight="1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 spans="1:28" ht="15.75" customHeight="1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 spans="1:28" ht="15.75" customHeight="1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</row>
    <row r="135" spans="1:28" ht="15.75" customHeight="1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 spans="1:28" ht="15.75" customHeight="1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 spans="1:28" ht="15.75" customHeight="1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 spans="1:28" ht="15.75" customHeight="1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spans="1:28" ht="15.75" customHeight="1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</row>
    <row r="140" spans="1:28" ht="15.75" customHeight="1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 spans="1:28" ht="15.75" customHeight="1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 spans="1:28" ht="15.75" customHeight="1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</row>
    <row r="143" spans="1:28" ht="15.75" customHeight="1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 spans="1:28" ht="15.75" customHeight="1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 spans="1:28" ht="15.75" customHeight="1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 spans="1:28" ht="15.75" customHeight="1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</row>
    <row r="147" spans="1:28" ht="15.75" customHeight="1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 spans="1:28" ht="15.75" customHeight="1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spans="1:28" ht="15.75" customHeight="1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 spans="1:28" ht="15.75" customHeight="1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 spans="1:28" ht="15.75" customHeight="1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 spans="1:28" ht="15.75" customHeight="1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5.75" customHeight="1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 spans="1:28" ht="15.75" customHeight="1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 spans="1:28" ht="15.75" customHeight="1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 spans="1:28" ht="15.75" customHeight="1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 spans="1:28" ht="15.75" customHeight="1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 spans="1:28" ht="15.75" customHeight="1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 spans="1:28" ht="15.75" customHeight="1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 spans="1:28" ht="15.75" customHeight="1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 spans="1:28" ht="15.75" customHeight="1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 spans="1:28" ht="15.75" customHeight="1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</row>
    <row r="163" spans="1:28" ht="15.75" customHeight="1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 spans="1:28" ht="15.75" customHeight="1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 spans="1:28" ht="15.75" customHeight="1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 spans="1:28" ht="15.75" customHeight="1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 spans="1:28" ht="15.75" customHeight="1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 spans="1:28" ht="15.75" customHeight="1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 spans="1:28" ht="15.75" customHeight="1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spans="1:28" ht="15.75" customHeight="1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 spans="1:28" ht="15.75" customHeight="1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 spans="1:28" ht="15.75" customHeight="1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 spans="1:28" ht="15.75" customHeight="1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 spans="1:28" ht="15.75" customHeight="1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 spans="1:28" ht="15.75" customHeight="1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 spans="1:28" ht="15.75" customHeight="1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 spans="1:28" ht="15.75" customHeight="1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 spans="1:28" ht="15.75" customHeight="1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 spans="1:28" ht="15.75" customHeight="1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spans="1:28" ht="15.75" customHeight="1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 spans="1:28" ht="15.75" customHeight="1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 spans="1:28" ht="15.75" customHeight="1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 spans="1:28" ht="15.75" customHeight="1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 spans="1:28" ht="15.75" customHeight="1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 spans="1:28" ht="15.75" customHeight="1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</row>
    <row r="186" spans="1:28" ht="15.75" customHeight="1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 spans="1:28" ht="15.75" customHeight="1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 spans="1:28" ht="15.75" customHeight="1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 spans="1:28" ht="15.75" customHeight="1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 spans="1:28" ht="15.75" customHeight="1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spans="1:28" ht="15.75" customHeight="1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 spans="1:28" ht="15.75" customHeight="1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 spans="1:28" ht="15.75" customHeight="1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 spans="1:28" ht="15.75" customHeight="1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 spans="1:28" ht="15.75" customHeight="1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 spans="1:28" ht="15.75" customHeight="1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 spans="1:28" ht="15.75" customHeight="1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 spans="1:28" ht="15.75" customHeight="1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 spans="1:28" ht="15.75" customHeight="1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 spans="1:28" ht="15.75" customHeight="1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spans="1:28" ht="15.75" customHeight="1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 spans="1:28" ht="15.75" customHeight="1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 spans="1:28" ht="15.75" customHeight="1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 spans="1:28" ht="15.75" customHeight="1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 spans="1:28" ht="15.75" customHeight="1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 spans="1:28" ht="15.75" customHeight="1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 spans="1:28" ht="15.75" customHeight="1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 spans="1:28" ht="15.75" customHeight="1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</row>
    <row r="209" spans="1:28" ht="15.75" customHeight="1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 spans="1:28" ht="15.75" customHeight="1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spans="1:28" ht="15.75" customHeight="1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 spans="1:28" ht="15.75" customHeight="1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5.75" customHeight="1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 spans="1:28" ht="15.75" customHeight="1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 spans="1:28" ht="15.75" customHeight="1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 spans="1:28" ht="15.75" customHeight="1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 spans="1:28" ht="15.75" customHeight="1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 spans="1:28" ht="15.75" customHeight="1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 spans="1:28" ht="15.75" customHeight="1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 spans="1:28" ht="15.75" customHeight="1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 spans="1:28" ht="15.75" customHeight="1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1:28" ht="15.75" customHeight="1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 spans="1:28" ht="15.75" customHeight="1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 spans="1:28" ht="15.75" customHeight="1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 spans="1:28" ht="15.75" customHeight="1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 spans="1:28" ht="15.75" customHeight="1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 spans="1:28" ht="15.75" customHeight="1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 spans="1:28" ht="15.75" customHeight="1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 spans="1:28" ht="15.75" customHeight="1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 spans="1:28" ht="15.75" customHeight="1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 spans="1:28" ht="15.75" customHeight="1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 spans="1:28" ht="15.75" customHeight="1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 spans="1:28" ht="15.75" customHeight="1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 spans="1:28" ht="15.75" customHeight="1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</row>
    <row r="235" spans="1:28" ht="15.75" customHeight="1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</row>
    <row r="236" spans="1:28" ht="15.75" customHeight="1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</row>
    <row r="237" spans="1:28" ht="15.75" customHeight="1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</row>
    <row r="238" spans="1:28" ht="15.75" customHeight="1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</row>
    <row r="239" spans="1:28" ht="15.75" customHeight="1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</row>
    <row r="240" spans="1:28" ht="15.75" customHeight="1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</row>
    <row r="241" spans="1:28" ht="15.75" customHeight="1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 spans="1:28" ht="15.75" customHeight="1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</row>
    <row r="243" spans="1:28" ht="15.75" customHeight="1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</row>
    <row r="244" spans="1:28" ht="15.75" customHeight="1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</row>
    <row r="245" spans="1:28" ht="15.75" customHeight="1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 spans="1:28" ht="15.75" customHeight="1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</row>
    <row r="247" spans="1:28" ht="15.75" customHeight="1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</row>
    <row r="248" spans="1:28" ht="15.75" customHeight="1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</row>
    <row r="249" spans="1:28" ht="15.75" customHeight="1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 spans="1:28" ht="15.75" customHeight="1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</row>
    <row r="251" spans="1:28" ht="15.75" customHeight="1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 spans="1:28" ht="15.75" customHeight="1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</row>
    <row r="253" spans="1:28" ht="15.75" customHeight="1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</row>
    <row r="254" spans="1:28" ht="15.75" customHeight="1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</row>
    <row r="255" spans="1:28" ht="15.75" customHeight="1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</row>
    <row r="256" spans="1:28" ht="15.75" customHeight="1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</row>
    <row r="257" spans="1:28" ht="15.75" customHeight="1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</row>
    <row r="258" spans="1:28" ht="15.75" customHeight="1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</row>
    <row r="259" spans="1:28" ht="15.75" customHeight="1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</row>
    <row r="260" spans="1:28" ht="15.75" customHeight="1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</row>
    <row r="261" spans="1:28" ht="15.75" customHeight="1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</row>
    <row r="262" spans="1:28" ht="15.75" customHeight="1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</row>
    <row r="263" spans="1:28" ht="15.75" customHeight="1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</row>
    <row r="264" spans="1:28" ht="15.75" customHeight="1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</row>
    <row r="265" spans="1:28" ht="15.75" customHeight="1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</row>
    <row r="266" spans="1:28" ht="15.75" customHeight="1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</row>
    <row r="267" spans="1:28" ht="15.75" customHeight="1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</row>
    <row r="268" spans="1:28" ht="15.75" customHeight="1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</row>
    <row r="269" spans="1:28" ht="15.75" customHeight="1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</row>
    <row r="270" spans="1:28" ht="15.75" customHeight="1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</row>
    <row r="271" spans="1:28" ht="15.75" customHeight="1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</row>
    <row r="272" spans="1:28" ht="15.75" customHeight="1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5.75" customHeight="1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</row>
    <row r="274" spans="1:28" ht="15.75" customHeight="1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</row>
    <row r="275" spans="1:28" ht="15.75" customHeight="1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</row>
    <row r="276" spans="1:28" ht="15.75" customHeight="1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</row>
    <row r="277" spans="1:28" ht="15.75" customHeight="1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</row>
    <row r="278" spans="1:28" ht="15.75" customHeight="1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</row>
    <row r="279" spans="1:28" ht="15.75" customHeight="1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</row>
    <row r="280" spans="1:28" ht="15.75" customHeight="1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</row>
    <row r="281" spans="1:28" ht="15.75" customHeight="1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 spans="1:28" ht="15.75" customHeight="1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</row>
    <row r="283" spans="1:28" ht="15.75" customHeight="1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 spans="1:28" ht="15.75" customHeight="1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</row>
    <row r="285" spans="1:28" ht="15.75" customHeight="1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</row>
    <row r="286" spans="1:28" ht="15.75" customHeight="1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</row>
    <row r="287" spans="1:28" ht="15.75" customHeight="1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</row>
    <row r="288" spans="1:28" ht="15.75" customHeight="1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</row>
    <row r="289" spans="1:28" ht="15.75" customHeight="1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</row>
    <row r="290" spans="1:28" ht="15.75" customHeight="1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</row>
    <row r="291" spans="1:28" ht="15.75" customHeight="1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</row>
    <row r="292" spans="1:28" ht="15.75" customHeight="1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</row>
    <row r="293" spans="1:28" ht="15.75" customHeight="1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</row>
    <row r="294" spans="1:28" ht="15.75" customHeight="1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</row>
    <row r="295" spans="1:28" ht="15.75" customHeight="1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</row>
    <row r="296" spans="1:28" ht="15.75" customHeight="1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</row>
    <row r="297" spans="1:28" ht="15.75" customHeight="1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 spans="1:28" ht="15.75" customHeight="1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</row>
    <row r="299" spans="1:28" ht="15.75" customHeight="1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</row>
    <row r="300" spans="1:28" ht="15.75" customHeight="1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</row>
    <row r="301" spans="1:28" ht="15.75" customHeight="1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</row>
    <row r="302" spans="1:28" ht="15.75" customHeight="1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</row>
    <row r="303" spans="1:28" ht="15.75" customHeight="1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</row>
    <row r="304" spans="1:28" ht="15.75" customHeight="1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</row>
    <row r="305" spans="1:28" ht="15.75" customHeight="1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</row>
    <row r="306" spans="1:28" ht="15.75" customHeight="1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</row>
    <row r="307" spans="1:28" ht="15.75" customHeight="1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</row>
    <row r="308" spans="1:28" ht="15.75" customHeight="1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</row>
    <row r="309" spans="1:28" ht="15.75" customHeight="1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</row>
    <row r="310" spans="1:28" ht="15.75" customHeight="1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</row>
    <row r="311" spans="1:28" ht="15.75" customHeight="1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</row>
    <row r="312" spans="1:28" ht="15.75" customHeight="1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</row>
    <row r="313" spans="1:28" ht="15.75" customHeight="1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</row>
    <row r="314" spans="1:28" ht="15.75" customHeight="1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</row>
    <row r="315" spans="1:28" ht="15.75" customHeight="1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</row>
    <row r="316" spans="1:28" ht="15.75" customHeight="1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</row>
    <row r="317" spans="1:28" ht="15.75" customHeight="1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</row>
    <row r="318" spans="1:28" ht="15.75" customHeight="1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</row>
    <row r="319" spans="1:28" ht="15.75" customHeight="1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</row>
    <row r="320" spans="1:28" ht="15.75" customHeight="1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</row>
    <row r="321" spans="1:28" ht="15.75" customHeight="1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</row>
    <row r="322" spans="1:28" ht="15.75" customHeight="1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</row>
    <row r="323" spans="1:28" ht="15.75" customHeight="1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</row>
    <row r="324" spans="1:28" ht="15.75" customHeight="1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</row>
    <row r="325" spans="1:28" ht="15.75" customHeight="1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</row>
    <row r="326" spans="1:28" ht="15.75" customHeight="1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</row>
    <row r="327" spans="1:28" ht="15.75" customHeight="1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</row>
    <row r="328" spans="1:28" ht="15.75" customHeight="1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</row>
    <row r="329" spans="1:28" ht="15.75" customHeight="1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</row>
    <row r="330" spans="1:28" ht="15.75" customHeight="1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</row>
    <row r="331" spans="1:28" ht="15.75" customHeight="1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</row>
    <row r="332" spans="1:28" ht="15.75" customHeight="1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5.75" customHeight="1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</row>
    <row r="334" spans="1:28" ht="15.75" customHeight="1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</row>
    <row r="335" spans="1:28" ht="15.75" customHeight="1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</row>
    <row r="336" spans="1:28" ht="15.75" customHeight="1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</row>
    <row r="337" spans="1:28" ht="15.75" customHeight="1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</row>
    <row r="338" spans="1:28" ht="15.75" customHeight="1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</row>
    <row r="339" spans="1:28" ht="15.75" customHeight="1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</row>
    <row r="340" spans="1:28" ht="15.75" customHeight="1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</row>
    <row r="341" spans="1:28" ht="15.75" customHeight="1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</row>
    <row r="342" spans="1:28" ht="15.75" customHeight="1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</row>
    <row r="343" spans="1:28" ht="15.75" customHeight="1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</row>
    <row r="344" spans="1:28" ht="15.75" customHeight="1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</row>
    <row r="345" spans="1:28" ht="15.75" customHeight="1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</row>
    <row r="346" spans="1:28" ht="15.75" customHeight="1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</row>
    <row r="347" spans="1:28" ht="15.75" customHeight="1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</row>
    <row r="348" spans="1:28" ht="15.75" customHeight="1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</row>
    <row r="349" spans="1:28" ht="15.75" customHeight="1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</row>
    <row r="350" spans="1:28" ht="15.75" customHeight="1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</row>
    <row r="351" spans="1:28" ht="15.75" customHeight="1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</row>
    <row r="352" spans="1:28" ht="15.75" customHeight="1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</row>
    <row r="353" spans="1:28" ht="15.75" customHeight="1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</row>
    <row r="354" spans="1:28" ht="15.75" customHeight="1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</row>
    <row r="355" spans="1:28" ht="15.75" customHeight="1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</row>
    <row r="356" spans="1:28" ht="15.75" customHeight="1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</row>
    <row r="357" spans="1:28" ht="15.75" customHeight="1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</row>
    <row r="358" spans="1:28" ht="15.75" customHeight="1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</row>
    <row r="359" spans="1:28" ht="15.75" customHeight="1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</row>
    <row r="360" spans="1:28" ht="15.75" customHeight="1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</row>
    <row r="361" spans="1:28" ht="15.75" customHeight="1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</row>
    <row r="362" spans="1:28" ht="15.75" customHeight="1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</row>
    <row r="363" spans="1:28" ht="15.75" customHeight="1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</row>
    <row r="364" spans="1:28" ht="15.75" customHeight="1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</row>
    <row r="365" spans="1:28" ht="15.75" customHeight="1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</row>
    <row r="366" spans="1:28" ht="15.75" customHeight="1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</row>
    <row r="367" spans="1:28" ht="15.75" customHeight="1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</row>
    <row r="368" spans="1:28" ht="15.75" customHeight="1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</row>
    <row r="369" spans="1:28" ht="15.75" customHeight="1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</row>
    <row r="370" spans="1:28" ht="15.75" customHeight="1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</row>
    <row r="371" spans="1:28" ht="15.75" customHeight="1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</row>
    <row r="372" spans="1:28" ht="15.75" customHeight="1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</row>
    <row r="373" spans="1:28" ht="15.75" customHeight="1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</row>
    <row r="374" spans="1:28" ht="15.75" customHeight="1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</row>
    <row r="375" spans="1:28" ht="15.75" customHeight="1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</row>
    <row r="376" spans="1:28" ht="15.75" customHeight="1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</row>
    <row r="377" spans="1:28" ht="15.75" customHeight="1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</row>
    <row r="378" spans="1:28" ht="15.75" customHeight="1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</row>
    <row r="379" spans="1:28" ht="15.75" customHeight="1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</row>
    <row r="380" spans="1:28" ht="15.75" customHeight="1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</row>
    <row r="381" spans="1:28" ht="15.75" customHeight="1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</row>
    <row r="382" spans="1:28" ht="15.75" customHeight="1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</row>
    <row r="383" spans="1:28" ht="15.75" customHeight="1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</row>
    <row r="384" spans="1:28" ht="15.75" customHeight="1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</row>
    <row r="385" spans="1:28" ht="15.75" customHeight="1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</row>
    <row r="386" spans="1:28" ht="15.75" customHeight="1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</row>
    <row r="387" spans="1:28" ht="15.75" customHeight="1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</row>
    <row r="388" spans="1:28" ht="15.75" customHeight="1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</row>
    <row r="389" spans="1:28" ht="15.75" customHeight="1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</row>
    <row r="390" spans="1:28" ht="15.75" customHeight="1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</row>
    <row r="391" spans="1:28" ht="15.75" customHeight="1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</row>
    <row r="392" spans="1:28" ht="15.75" customHeight="1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1:28" ht="15.75" customHeight="1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</row>
    <row r="394" spans="1:28" ht="15.75" customHeight="1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</row>
    <row r="395" spans="1:28" ht="15.75" customHeight="1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</row>
    <row r="396" spans="1:28" ht="15.75" customHeight="1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</row>
    <row r="397" spans="1:28" ht="15.75" customHeight="1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</row>
    <row r="398" spans="1:28" ht="15.75" customHeight="1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</row>
    <row r="399" spans="1:28" ht="15.75" customHeight="1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</row>
    <row r="400" spans="1:28" ht="15.75" customHeight="1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</row>
    <row r="401" spans="1:28" ht="15.75" customHeight="1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</row>
    <row r="402" spans="1:28" ht="15.75" customHeight="1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</row>
    <row r="403" spans="1:28" ht="15.75" customHeight="1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</row>
    <row r="404" spans="1:28" ht="15.75" customHeight="1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</row>
    <row r="405" spans="1:28" ht="15.75" customHeight="1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</row>
    <row r="406" spans="1:28" ht="15.75" customHeight="1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</row>
    <row r="407" spans="1:28" ht="15.75" customHeight="1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</row>
    <row r="408" spans="1:28" ht="15.75" customHeight="1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</row>
    <row r="409" spans="1:28" ht="15.75" customHeight="1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</row>
    <row r="410" spans="1:28" ht="15.75" customHeight="1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</row>
    <row r="411" spans="1:28" ht="15.75" customHeight="1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</row>
    <row r="412" spans="1:28" ht="15.75" customHeight="1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</row>
    <row r="413" spans="1:28" ht="15.75" customHeight="1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</row>
    <row r="414" spans="1:28" ht="15.75" customHeight="1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</row>
    <row r="415" spans="1:28" ht="15.75" customHeight="1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</row>
    <row r="416" spans="1:28" ht="15.75" customHeight="1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</row>
    <row r="417" spans="1:28" ht="15.75" customHeight="1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</row>
    <row r="418" spans="1:28" ht="15.75" customHeight="1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</row>
    <row r="419" spans="1:28" ht="15.75" customHeight="1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</row>
    <row r="420" spans="1:28" ht="15.75" customHeight="1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</row>
    <row r="421" spans="1:28" ht="15.75" customHeight="1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</row>
    <row r="422" spans="1:28" ht="15.75" customHeight="1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</row>
    <row r="423" spans="1:28" ht="15.75" customHeight="1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</row>
    <row r="424" spans="1:28" ht="15.75" customHeight="1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</row>
    <row r="425" spans="1:28" ht="15.75" customHeight="1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</row>
    <row r="426" spans="1:28" ht="15.75" customHeight="1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</row>
    <row r="427" spans="1:28" ht="15.75" customHeight="1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</row>
    <row r="428" spans="1:28" ht="15.75" customHeight="1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</row>
    <row r="429" spans="1:28" ht="15.75" customHeight="1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</row>
    <row r="430" spans="1:28" ht="15.75" customHeight="1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</row>
    <row r="431" spans="1:28" ht="15.75" customHeight="1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</row>
    <row r="432" spans="1:28" ht="15.75" customHeight="1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</row>
    <row r="433" spans="1:28" ht="15.75" customHeight="1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</row>
    <row r="434" spans="1:28" ht="15.75" customHeight="1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</row>
    <row r="435" spans="1:28" ht="15.75" customHeight="1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</row>
    <row r="436" spans="1:28" ht="15.75" customHeight="1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</row>
    <row r="437" spans="1:28" ht="15.75" customHeight="1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</row>
    <row r="438" spans="1:28" ht="15.75" customHeight="1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</row>
    <row r="439" spans="1:28" ht="15.75" customHeight="1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</row>
    <row r="440" spans="1:28" ht="15.75" customHeight="1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</row>
    <row r="441" spans="1:28" ht="15.75" customHeight="1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</row>
    <row r="442" spans="1:28" ht="15.75" customHeight="1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</row>
    <row r="443" spans="1:28" ht="15.75" customHeight="1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</row>
    <row r="444" spans="1:28" ht="15.75" customHeight="1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</row>
    <row r="445" spans="1:28" ht="15.75" customHeight="1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</row>
    <row r="446" spans="1:28" ht="15.75" customHeight="1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</row>
    <row r="447" spans="1:28" ht="15.75" customHeight="1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</row>
    <row r="448" spans="1:28" ht="15.75" customHeight="1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</row>
    <row r="449" spans="1:28" ht="15.75" customHeight="1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</row>
    <row r="450" spans="1:28" ht="15.75" customHeight="1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</row>
    <row r="451" spans="1:28" ht="15.75" customHeight="1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</row>
    <row r="452" spans="1:28" ht="15.75" customHeight="1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spans="1:28" ht="15.75" customHeight="1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</row>
    <row r="454" spans="1:28" ht="15.75" customHeight="1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</row>
    <row r="455" spans="1:28" ht="15.75" customHeight="1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</row>
    <row r="456" spans="1:28" ht="15.75" customHeight="1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</row>
    <row r="457" spans="1:28" ht="15.75" customHeight="1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</row>
    <row r="458" spans="1:28" ht="15.75" customHeight="1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</row>
    <row r="459" spans="1:28" ht="15.75" customHeight="1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</row>
    <row r="460" spans="1:28" ht="15.75" customHeight="1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</row>
    <row r="461" spans="1:28" ht="15.75" customHeight="1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</row>
    <row r="462" spans="1:28" ht="15.75" customHeight="1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</row>
    <row r="463" spans="1:28" ht="15.75" customHeight="1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</row>
    <row r="464" spans="1:28" ht="15.75" customHeight="1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</row>
    <row r="465" spans="1:28" ht="15.75" customHeight="1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</row>
    <row r="466" spans="1:28" ht="15.75" customHeight="1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</row>
    <row r="467" spans="1:28" ht="15.75" customHeight="1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</row>
    <row r="468" spans="1:28" ht="15.75" customHeight="1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</row>
    <row r="469" spans="1:28" ht="15.75" customHeight="1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</row>
    <row r="470" spans="1:28" ht="15.75" customHeight="1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</row>
    <row r="471" spans="1:28" ht="15.75" customHeight="1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</row>
    <row r="472" spans="1:28" ht="15.75" customHeight="1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</row>
    <row r="473" spans="1:28" ht="15.75" customHeight="1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</row>
    <row r="474" spans="1:28" ht="15.75" customHeight="1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</row>
    <row r="475" spans="1:28" ht="15.75" customHeight="1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</row>
    <row r="476" spans="1:28" ht="15.75" customHeight="1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</row>
    <row r="477" spans="1:28" ht="15.75" customHeight="1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</row>
    <row r="478" spans="1:28" ht="15.75" customHeight="1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</row>
    <row r="479" spans="1:28" ht="15.75" customHeight="1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</row>
    <row r="480" spans="1:28" ht="15.75" customHeight="1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</row>
    <row r="481" spans="1:28" ht="15.75" customHeight="1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</row>
    <row r="482" spans="1:28" ht="15.75" customHeight="1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</row>
    <row r="483" spans="1:28" ht="15.75" customHeight="1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</row>
    <row r="484" spans="1:28" ht="15.75" customHeight="1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</row>
    <row r="485" spans="1:28" ht="15.75" customHeight="1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</row>
    <row r="486" spans="1:28" ht="15.75" customHeight="1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</row>
    <row r="487" spans="1:28" ht="15.75" customHeight="1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</row>
    <row r="488" spans="1:28" ht="15.75" customHeight="1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</row>
    <row r="489" spans="1:28" ht="15.75" customHeight="1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</row>
    <row r="490" spans="1:28" ht="15.75" customHeight="1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</row>
    <row r="491" spans="1:28" ht="15.75" customHeight="1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</row>
    <row r="492" spans="1:28" ht="15.75" customHeight="1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</row>
    <row r="493" spans="1:28" ht="15.75" customHeight="1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</row>
    <row r="494" spans="1:28" ht="15.75" customHeight="1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</row>
    <row r="495" spans="1:28" ht="15.75" customHeight="1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</row>
    <row r="496" spans="1:28" ht="15.75" customHeight="1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</row>
    <row r="497" spans="1:28" ht="15.75" customHeight="1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</row>
    <row r="498" spans="1:28" ht="15.75" customHeight="1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</row>
    <row r="499" spans="1:28" ht="15.75" customHeight="1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</row>
    <row r="500" spans="1:28" ht="15.75" customHeight="1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</row>
    <row r="501" spans="1:28" ht="15.75" customHeight="1" x14ac:dyDescent="0.3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</row>
    <row r="502" spans="1:28" ht="15.75" customHeight="1" x14ac:dyDescent="0.3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</row>
    <row r="503" spans="1:28" ht="15.75" customHeight="1" x14ac:dyDescent="0.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</row>
    <row r="504" spans="1:28" ht="15.75" customHeight="1" x14ac:dyDescent="0.3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</row>
    <row r="505" spans="1:28" ht="15.75" customHeight="1" x14ac:dyDescent="0.3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</row>
    <row r="506" spans="1:28" ht="15.75" customHeight="1" x14ac:dyDescent="0.3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</row>
    <row r="507" spans="1:28" ht="15.75" customHeight="1" x14ac:dyDescent="0.3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</row>
    <row r="508" spans="1:28" ht="15.75" customHeight="1" x14ac:dyDescent="0.3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</row>
    <row r="509" spans="1:28" ht="15.75" customHeight="1" x14ac:dyDescent="0.3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</row>
    <row r="510" spans="1:28" ht="15.75" customHeight="1" x14ac:dyDescent="0.3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</row>
    <row r="511" spans="1:28" ht="15.75" customHeight="1" x14ac:dyDescent="0.3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</row>
    <row r="512" spans="1:28" ht="15.75" customHeight="1" x14ac:dyDescent="0.3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 spans="1:28" ht="15.75" customHeight="1" x14ac:dyDescent="0.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</row>
    <row r="514" spans="1:28" ht="15.75" customHeight="1" x14ac:dyDescent="0.3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</row>
    <row r="515" spans="1:28" ht="15.75" customHeight="1" x14ac:dyDescent="0.3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</row>
    <row r="516" spans="1:28" ht="15.75" customHeight="1" x14ac:dyDescent="0.3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</row>
    <row r="517" spans="1:28" ht="15.75" customHeight="1" x14ac:dyDescent="0.3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</row>
    <row r="518" spans="1:28" ht="15.75" customHeight="1" x14ac:dyDescent="0.3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</row>
    <row r="519" spans="1:28" ht="15.75" customHeight="1" x14ac:dyDescent="0.3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</row>
    <row r="520" spans="1:28" ht="15.75" customHeight="1" x14ac:dyDescent="0.3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</row>
    <row r="521" spans="1:28" ht="15.75" customHeight="1" x14ac:dyDescent="0.3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</row>
    <row r="522" spans="1:28" ht="15.75" customHeight="1" x14ac:dyDescent="0.3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</row>
    <row r="523" spans="1:28" ht="15.75" customHeight="1" x14ac:dyDescent="0.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</row>
    <row r="524" spans="1:28" ht="15.75" customHeight="1" x14ac:dyDescent="0.3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</row>
    <row r="525" spans="1:28" ht="15.75" customHeight="1" x14ac:dyDescent="0.3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</row>
    <row r="526" spans="1:28" ht="15.75" customHeight="1" x14ac:dyDescent="0.3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</row>
    <row r="527" spans="1:28" ht="15.75" customHeight="1" x14ac:dyDescent="0.3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</row>
    <row r="528" spans="1:28" ht="15.75" customHeight="1" x14ac:dyDescent="0.3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</row>
    <row r="529" spans="1:28" ht="15.75" customHeight="1" x14ac:dyDescent="0.3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</row>
    <row r="530" spans="1:28" ht="15.75" customHeight="1" x14ac:dyDescent="0.3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</row>
    <row r="531" spans="1:28" ht="15.75" customHeight="1" x14ac:dyDescent="0.3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</row>
    <row r="532" spans="1:28" ht="15.75" customHeight="1" x14ac:dyDescent="0.3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</row>
    <row r="533" spans="1:28" ht="15.75" customHeight="1" x14ac:dyDescent="0.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</row>
    <row r="534" spans="1:28" ht="15.75" customHeight="1" x14ac:dyDescent="0.3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</row>
    <row r="535" spans="1:28" ht="15.75" customHeight="1" x14ac:dyDescent="0.3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</row>
    <row r="536" spans="1:28" ht="15.75" customHeight="1" x14ac:dyDescent="0.3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</row>
    <row r="537" spans="1:28" ht="15.75" customHeight="1" x14ac:dyDescent="0.3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</row>
    <row r="538" spans="1:28" ht="15.75" customHeight="1" x14ac:dyDescent="0.3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</row>
    <row r="539" spans="1:28" ht="15.75" customHeight="1" x14ac:dyDescent="0.3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</row>
    <row r="540" spans="1:28" ht="15.75" customHeight="1" x14ac:dyDescent="0.3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</row>
    <row r="541" spans="1:28" ht="15.75" customHeight="1" x14ac:dyDescent="0.3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</row>
    <row r="542" spans="1:28" ht="15.75" customHeight="1" x14ac:dyDescent="0.3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</row>
    <row r="543" spans="1:28" ht="15.75" customHeight="1" x14ac:dyDescent="0.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</row>
    <row r="544" spans="1:28" ht="15.75" customHeight="1" x14ac:dyDescent="0.3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</row>
    <row r="545" spans="1:28" ht="15.75" customHeight="1" x14ac:dyDescent="0.3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</row>
    <row r="546" spans="1:28" ht="15.75" customHeight="1" x14ac:dyDescent="0.3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</row>
    <row r="547" spans="1:28" ht="15.75" customHeight="1" x14ac:dyDescent="0.3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</row>
    <row r="548" spans="1:28" ht="15.75" customHeight="1" x14ac:dyDescent="0.3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</row>
    <row r="549" spans="1:28" ht="15.75" customHeight="1" x14ac:dyDescent="0.3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</row>
    <row r="550" spans="1:28" ht="15.75" customHeight="1" x14ac:dyDescent="0.3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</row>
    <row r="551" spans="1:28" ht="15.75" customHeight="1" x14ac:dyDescent="0.3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</row>
    <row r="552" spans="1:28" ht="15.75" customHeight="1" x14ac:dyDescent="0.3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</row>
    <row r="553" spans="1:28" ht="15.75" customHeight="1" x14ac:dyDescent="0.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</row>
    <row r="554" spans="1:28" ht="15.75" customHeight="1" x14ac:dyDescent="0.3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</row>
    <row r="555" spans="1:28" ht="15.75" customHeight="1" x14ac:dyDescent="0.3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</row>
    <row r="556" spans="1:28" ht="15.75" customHeight="1" x14ac:dyDescent="0.3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</row>
    <row r="557" spans="1:28" ht="15.75" customHeight="1" x14ac:dyDescent="0.3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</row>
    <row r="558" spans="1:28" ht="15.75" customHeight="1" x14ac:dyDescent="0.3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</row>
    <row r="559" spans="1:28" ht="15.75" customHeight="1" x14ac:dyDescent="0.3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</row>
    <row r="560" spans="1:28" ht="15.75" customHeight="1" x14ac:dyDescent="0.3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</row>
    <row r="561" spans="1:28" ht="15.75" customHeight="1" x14ac:dyDescent="0.3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</row>
    <row r="562" spans="1:28" ht="15.75" customHeight="1" x14ac:dyDescent="0.3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</row>
    <row r="563" spans="1:28" ht="15.75" customHeight="1" x14ac:dyDescent="0.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</row>
    <row r="564" spans="1:28" ht="15.75" customHeight="1" x14ac:dyDescent="0.3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</row>
    <row r="565" spans="1:28" ht="15.75" customHeight="1" x14ac:dyDescent="0.3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</row>
    <row r="566" spans="1:28" ht="15.75" customHeight="1" x14ac:dyDescent="0.3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</row>
    <row r="567" spans="1:28" ht="15.75" customHeight="1" x14ac:dyDescent="0.3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</row>
    <row r="568" spans="1:28" ht="15.75" customHeight="1" x14ac:dyDescent="0.3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</row>
    <row r="569" spans="1:28" ht="15.75" customHeight="1" x14ac:dyDescent="0.3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</row>
    <row r="570" spans="1:28" ht="15.75" customHeight="1" x14ac:dyDescent="0.3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</row>
    <row r="571" spans="1:28" ht="15.75" customHeight="1" x14ac:dyDescent="0.3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</row>
    <row r="572" spans="1:28" ht="15.75" customHeight="1" x14ac:dyDescent="0.3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 spans="1:28" ht="15.75" customHeight="1" x14ac:dyDescent="0.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</row>
    <row r="574" spans="1:28" ht="15.75" customHeight="1" x14ac:dyDescent="0.3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</row>
    <row r="575" spans="1:28" ht="15.75" customHeight="1" x14ac:dyDescent="0.3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</row>
    <row r="576" spans="1:28" ht="15.75" customHeight="1" x14ac:dyDescent="0.3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</row>
    <row r="577" spans="1:28" ht="15.75" customHeight="1" x14ac:dyDescent="0.3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</row>
    <row r="578" spans="1:28" ht="15.75" customHeight="1" x14ac:dyDescent="0.3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</row>
    <row r="579" spans="1:28" ht="15.75" customHeight="1" x14ac:dyDescent="0.3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</row>
    <row r="580" spans="1:28" ht="15.75" customHeight="1" x14ac:dyDescent="0.3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</row>
    <row r="581" spans="1:28" ht="15.75" customHeight="1" x14ac:dyDescent="0.3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</row>
    <row r="582" spans="1:28" ht="15.75" customHeight="1" x14ac:dyDescent="0.3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</row>
    <row r="583" spans="1:28" ht="15.75" customHeight="1" x14ac:dyDescent="0.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</row>
    <row r="584" spans="1:28" ht="15.75" customHeight="1" x14ac:dyDescent="0.3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</row>
    <row r="585" spans="1:28" ht="15.75" customHeight="1" x14ac:dyDescent="0.3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</row>
    <row r="586" spans="1:28" ht="15.75" customHeight="1" x14ac:dyDescent="0.3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</row>
    <row r="587" spans="1:28" ht="15.75" customHeight="1" x14ac:dyDescent="0.3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</row>
    <row r="588" spans="1:28" ht="15.75" customHeight="1" x14ac:dyDescent="0.3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</row>
    <row r="589" spans="1:28" ht="15.75" customHeight="1" x14ac:dyDescent="0.3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</row>
    <row r="590" spans="1:28" ht="15.75" customHeight="1" x14ac:dyDescent="0.3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</row>
    <row r="591" spans="1:28" ht="15.75" customHeight="1" x14ac:dyDescent="0.3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</row>
    <row r="592" spans="1:28" ht="15.75" customHeight="1" x14ac:dyDescent="0.3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</row>
    <row r="593" spans="1:28" ht="15.75" customHeight="1" x14ac:dyDescent="0.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</row>
    <row r="594" spans="1:28" ht="15.75" customHeight="1" x14ac:dyDescent="0.3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</row>
    <row r="595" spans="1:28" ht="15.75" customHeight="1" x14ac:dyDescent="0.3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</row>
    <row r="596" spans="1:28" ht="15.75" customHeight="1" x14ac:dyDescent="0.3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</row>
    <row r="597" spans="1:28" ht="15.75" customHeight="1" x14ac:dyDescent="0.3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</row>
    <row r="598" spans="1:28" ht="15.75" customHeight="1" x14ac:dyDescent="0.3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</row>
    <row r="599" spans="1:28" ht="15.75" customHeight="1" x14ac:dyDescent="0.3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</row>
    <row r="600" spans="1:28" ht="15.75" customHeight="1" x14ac:dyDescent="0.3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</row>
    <row r="601" spans="1:28" ht="15.75" customHeight="1" x14ac:dyDescent="0.3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</row>
    <row r="602" spans="1:28" ht="15.75" customHeight="1" x14ac:dyDescent="0.3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</row>
    <row r="603" spans="1:28" ht="15.75" customHeight="1" x14ac:dyDescent="0.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</row>
    <row r="604" spans="1:28" ht="15.75" customHeight="1" x14ac:dyDescent="0.3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</row>
    <row r="605" spans="1:28" ht="15.75" customHeight="1" x14ac:dyDescent="0.3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</row>
    <row r="606" spans="1:28" ht="15.75" customHeight="1" x14ac:dyDescent="0.3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</row>
    <row r="607" spans="1:28" ht="15.75" customHeight="1" x14ac:dyDescent="0.3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</row>
    <row r="608" spans="1:28" ht="15.75" customHeight="1" x14ac:dyDescent="0.3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</row>
    <row r="609" spans="1:28" ht="15.75" customHeight="1" x14ac:dyDescent="0.3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</row>
    <row r="610" spans="1:28" ht="15.75" customHeight="1" x14ac:dyDescent="0.3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</row>
    <row r="611" spans="1:28" ht="15.75" customHeight="1" x14ac:dyDescent="0.3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</row>
    <row r="612" spans="1:28" ht="15.75" customHeight="1" x14ac:dyDescent="0.3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</row>
    <row r="613" spans="1:28" ht="15.75" customHeight="1" x14ac:dyDescent="0.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</row>
    <row r="614" spans="1:28" ht="15.75" customHeight="1" x14ac:dyDescent="0.3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</row>
    <row r="615" spans="1:28" ht="15.75" customHeight="1" x14ac:dyDescent="0.3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</row>
    <row r="616" spans="1:28" ht="15.75" customHeight="1" x14ac:dyDescent="0.3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</row>
    <row r="617" spans="1:28" ht="15.75" customHeight="1" x14ac:dyDescent="0.3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</row>
    <row r="618" spans="1:28" ht="15.75" customHeight="1" x14ac:dyDescent="0.3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</row>
    <row r="619" spans="1:28" ht="15.75" customHeight="1" x14ac:dyDescent="0.3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</row>
    <row r="620" spans="1:28" ht="15.75" customHeight="1" x14ac:dyDescent="0.3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</row>
    <row r="621" spans="1:28" ht="15.75" customHeight="1" x14ac:dyDescent="0.3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</row>
    <row r="622" spans="1:28" ht="15.75" customHeight="1" x14ac:dyDescent="0.3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</row>
    <row r="623" spans="1:28" ht="15.75" customHeight="1" x14ac:dyDescent="0.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</row>
    <row r="624" spans="1:28" ht="15.75" customHeight="1" x14ac:dyDescent="0.3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</row>
    <row r="625" spans="1:28" ht="15.75" customHeight="1" x14ac:dyDescent="0.3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</row>
    <row r="626" spans="1:28" ht="15.75" customHeight="1" x14ac:dyDescent="0.3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</row>
    <row r="627" spans="1:28" ht="15.75" customHeight="1" x14ac:dyDescent="0.3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</row>
    <row r="628" spans="1:28" ht="15.75" customHeight="1" x14ac:dyDescent="0.3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</row>
    <row r="629" spans="1:28" ht="15.75" customHeight="1" x14ac:dyDescent="0.3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</row>
    <row r="630" spans="1:28" ht="15.75" customHeight="1" x14ac:dyDescent="0.3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</row>
    <row r="631" spans="1:28" ht="15.75" customHeight="1" x14ac:dyDescent="0.3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</row>
    <row r="632" spans="1:28" ht="15.75" customHeight="1" x14ac:dyDescent="0.3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 spans="1:28" ht="15.75" customHeight="1" x14ac:dyDescent="0.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</row>
    <row r="634" spans="1:28" ht="15.75" customHeight="1" x14ac:dyDescent="0.3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</row>
    <row r="635" spans="1:28" ht="15.75" customHeight="1" x14ac:dyDescent="0.3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</row>
    <row r="636" spans="1:28" ht="15.75" customHeight="1" x14ac:dyDescent="0.3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</row>
    <row r="637" spans="1:28" ht="15.75" customHeight="1" x14ac:dyDescent="0.3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</row>
    <row r="638" spans="1:28" ht="15.75" customHeight="1" x14ac:dyDescent="0.3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</row>
    <row r="639" spans="1:28" ht="15.75" customHeight="1" x14ac:dyDescent="0.3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</row>
    <row r="640" spans="1:28" ht="15.75" customHeight="1" x14ac:dyDescent="0.3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</row>
    <row r="641" spans="1:28" ht="15.75" customHeight="1" x14ac:dyDescent="0.3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</row>
    <row r="642" spans="1:28" ht="15.75" customHeight="1" x14ac:dyDescent="0.3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</row>
    <row r="643" spans="1:28" ht="15.75" customHeight="1" x14ac:dyDescent="0.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</row>
    <row r="644" spans="1:28" ht="15.75" customHeight="1" x14ac:dyDescent="0.3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</row>
    <row r="645" spans="1:28" ht="15.75" customHeight="1" x14ac:dyDescent="0.3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</row>
    <row r="646" spans="1:28" ht="15.75" customHeight="1" x14ac:dyDescent="0.3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</row>
    <row r="647" spans="1:28" ht="15.75" customHeight="1" x14ac:dyDescent="0.3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</row>
    <row r="648" spans="1:28" ht="15.75" customHeight="1" x14ac:dyDescent="0.3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</row>
    <row r="649" spans="1:28" ht="15.75" customHeight="1" x14ac:dyDescent="0.3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</row>
    <row r="650" spans="1:28" ht="15.75" customHeight="1" x14ac:dyDescent="0.3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</row>
    <row r="651" spans="1:28" ht="15.75" customHeight="1" x14ac:dyDescent="0.3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</row>
    <row r="652" spans="1:28" ht="15.75" customHeight="1" x14ac:dyDescent="0.3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</row>
    <row r="653" spans="1:28" ht="15.75" customHeight="1" x14ac:dyDescent="0.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</row>
    <row r="654" spans="1:28" ht="15.75" customHeight="1" x14ac:dyDescent="0.3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</row>
    <row r="655" spans="1:28" ht="15.75" customHeight="1" x14ac:dyDescent="0.3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</row>
    <row r="656" spans="1:28" ht="15.75" customHeight="1" x14ac:dyDescent="0.3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</row>
    <row r="657" spans="1:28" ht="15.75" customHeight="1" x14ac:dyDescent="0.3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</row>
    <row r="658" spans="1:28" ht="15.75" customHeight="1" x14ac:dyDescent="0.3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</row>
    <row r="659" spans="1:28" ht="15.75" customHeight="1" x14ac:dyDescent="0.3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</row>
    <row r="660" spans="1:28" ht="15.75" customHeight="1" x14ac:dyDescent="0.3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</row>
    <row r="661" spans="1:28" ht="15.75" customHeight="1" x14ac:dyDescent="0.3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</row>
    <row r="662" spans="1:28" ht="15.75" customHeight="1" x14ac:dyDescent="0.3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</row>
    <row r="663" spans="1:28" ht="15.75" customHeight="1" x14ac:dyDescent="0.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</row>
    <row r="664" spans="1:28" ht="15.75" customHeight="1" x14ac:dyDescent="0.3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</row>
    <row r="665" spans="1:28" ht="15.75" customHeight="1" x14ac:dyDescent="0.3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</row>
    <row r="666" spans="1:28" ht="15.75" customHeight="1" x14ac:dyDescent="0.3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</row>
    <row r="667" spans="1:28" ht="15.75" customHeight="1" x14ac:dyDescent="0.3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</row>
    <row r="668" spans="1:28" ht="15.75" customHeight="1" x14ac:dyDescent="0.3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</row>
    <row r="669" spans="1:28" ht="15.75" customHeight="1" x14ac:dyDescent="0.3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</row>
    <row r="670" spans="1:28" ht="15.75" customHeight="1" x14ac:dyDescent="0.3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</row>
    <row r="671" spans="1:28" ht="15.75" customHeight="1" x14ac:dyDescent="0.3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</row>
    <row r="672" spans="1:28" ht="15.75" customHeight="1" x14ac:dyDescent="0.3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</row>
    <row r="673" spans="1:28" ht="15.75" customHeight="1" x14ac:dyDescent="0.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</row>
    <row r="674" spans="1:28" ht="15.75" customHeight="1" x14ac:dyDescent="0.3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</row>
    <row r="675" spans="1:28" ht="15.75" customHeight="1" x14ac:dyDescent="0.3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</row>
    <row r="676" spans="1:28" ht="15.75" customHeight="1" x14ac:dyDescent="0.3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</row>
    <row r="677" spans="1:28" ht="15.75" customHeight="1" x14ac:dyDescent="0.3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</row>
    <row r="678" spans="1:28" ht="15.75" customHeight="1" x14ac:dyDescent="0.3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</row>
    <row r="679" spans="1:28" ht="15.75" customHeight="1" x14ac:dyDescent="0.3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</row>
    <row r="680" spans="1:28" ht="15.75" customHeight="1" x14ac:dyDescent="0.3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</row>
    <row r="681" spans="1:28" ht="15.75" customHeight="1" x14ac:dyDescent="0.3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</row>
    <row r="682" spans="1:28" ht="15.75" customHeight="1" x14ac:dyDescent="0.3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</row>
    <row r="683" spans="1:28" ht="15.75" customHeight="1" x14ac:dyDescent="0.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</row>
    <row r="684" spans="1:28" ht="15.75" customHeight="1" x14ac:dyDescent="0.3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</row>
    <row r="685" spans="1:28" ht="15.75" customHeight="1" x14ac:dyDescent="0.3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</row>
    <row r="686" spans="1:28" ht="15.75" customHeight="1" x14ac:dyDescent="0.3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</row>
    <row r="687" spans="1:28" ht="15.75" customHeight="1" x14ac:dyDescent="0.3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</row>
    <row r="688" spans="1:28" ht="15.75" customHeight="1" x14ac:dyDescent="0.3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</row>
    <row r="689" spans="1:28" ht="15.75" customHeight="1" x14ac:dyDescent="0.3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</row>
    <row r="690" spans="1:28" ht="15.75" customHeight="1" x14ac:dyDescent="0.3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</row>
    <row r="691" spans="1:28" ht="15.75" customHeight="1" x14ac:dyDescent="0.3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</row>
    <row r="692" spans="1:28" ht="15.75" customHeight="1" x14ac:dyDescent="0.3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 spans="1:28" ht="15.75" customHeight="1" x14ac:dyDescent="0.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</row>
    <row r="694" spans="1:28" ht="15.75" customHeight="1" x14ac:dyDescent="0.3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</row>
    <row r="695" spans="1:28" ht="15.75" customHeight="1" x14ac:dyDescent="0.3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</row>
    <row r="696" spans="1:28" ht="15.75" customHeight="1" x14ac:dyDescent="0.3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</row>
    <row r="697" spans="1:28" ht="15.75" customHeight="1" x14ac:dyDescent="0.3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</row>
    <row r="698" spans="1:28" ht="15.75" customHeight="1" x14ac:dyDescent="0.3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</row>
    <row r="699" spans="1:28" ht="15.75" customHeight="1" x14ac:dyDescent="0.3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</row>
    <row r="700" spans="1:28" ht="15.75" customHeight="1" x14ac:dyDescent="0.3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</row>
    <row r="701" spans="1:28" ht="15.75" customHeight="1" x14ac:dyDescent="0.3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</row>
    <row r="702" spans="1:28" ht="15.75" customHeight="1" x14ac:dyDescent="0.3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</row>
    <row r="703" spans="1:28" ht="15.75" customHeight="1" x14ac:dyDescent="0.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</row>
    <row r="704" spans="1:28" ht="15.75" customHeight="1" x14ac:dyDescent="0.3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</row>
    <row r="705" spans="1:28" ht="15.75" customHeight="1" x14ac:dyDescent="0.3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</row>
    <row r="706" spans="1:28" ht="15.75" customHeight="1" x14ac:dyDescent="0.3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</row>
    <row r="707" spans="1:28" ht="15.75" customHeight="1" x14ac:dyDescent="0.3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</row>
    <row r="708" spans="1:28" ht="15.75" customHeight="1" x14ac:dyDescent="0.3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</row>
    <row r="709" spans="1:28" ht="15.75" customHeight="1" x14ac:dyDescent="0.3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</row>
    <row r="710" spans="1:28" ht="15.75" customHeight="1" x14ac:dyDescent="0.3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</row>
    <row r="711" spans="1:28" ht="15.75" customHeight="1" x14ac:dyDescent="0.3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</row>
    <row r="712" spans="1:28" ht="15.75" customHeight="1" x14ac:dyDescent="0.3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</row>
    <row r="713" spans="1:28" ht="15.75" customHeight="1" x14ac:dyDescent="0.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</row>
    <row r="714" spans="1:28" ht="15.75" customHeight="1" x14ac:dyDescent="0.3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</row>
    <row r="715" spans="1:28" ht="15.75" customHeight="1" x14ac:dyDescent="0.3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</row>
    <row r="716" spans="1:28" ht="15.75" customHeight="1" x14ac:dyDescent="0.3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</row>
    <row r="717" spans="1:28" ht="15.75" customHeight="1" x14ac:dyDescent="0.3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</row>
    <row r="718" spans="1:28" ht="15.75" customHeight="1" x14ac:dyDescent="0.3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</row>
    <row r="719" spans="1:28" ht="15.75" customHeight="1" x14ac:dyDescent="0.3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</row>
    <row r="720" spans="1:28" ht="15.75" customHeight="1" x14ac:dyDescent="0.3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</row>
    <row r="721" spans="1:28" ht="15.75" customHeight="1" x14ac:dyDescent="0.3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</row>
    <row r="722" spans="1:28" ht="15.75" customHeight="1" x14ac:dyDescent="0.3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</row>
    <row r="723" spans="1:28" ht="15.75" customHeight="1" x14ac:dyDescent="0.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</row>
    <row r="724" spans="1:28" ht="15.75" customHeight="1" x14ac:dyDescent="0.3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</row>
    <row r="725" spans="1:28" ht="15.75" customHeight="1" x14ac:dyDescent="0.3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</row>
    <row r="726" spans="1:28" ht="15.75" customHeight="1" x14ac:dyDescent="0.3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</row>
    <row r="727" spans="1:28" ht="15.75" customHeight="1" x14ac:dyDescent="0.3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</row>
    <row r="728" spans="1:28" ht="15.75" customHeight="1" x14ac:dyDescent="0.3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</row>
    <row r="729" spans="1:28" ht="15.75" customHeight="1" x14ac:dyDescent="0.3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</row>
    <row r="730" spans="1:28" ht="15.75" customHeight="1" x14ac:dyDescent="0.3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</row>
    <row r="731" spans="1:28" ht="15.75" customHeight="1" x14ac:dyDescent="0.3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</row>
    <row r="732" spans="1:28" ht="15.75" customHeight="1" x14ac:dyDescent="0.3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</row>
    <row r="733" spans="1:28" ht="15.75" customHeight="1" x14ac:dyDescent="0.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</row>
    <row r="734" spans="1:28" ht="15.75" customHeight="1" x14ac:dyDescent="0.3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</row>
    <row r="735" spans="1:28" ht="15.75" customHeight="1" x14ac:dyDescent="0.3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</row>
    <row r="736" spans="1:28" ht="15.75" customHeight="1" x14ac:dyDescent="0.3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</row>
    <row r="737" spans="1:28" ht="15.75" customHeight="1" x14ac:dyDescent="0.3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</row>
    <row r="738" spans="1:28" ht="15.75" customHeight="1" x14ac:dyDescent="0.3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</row>
    <row r="739" spans="1:28" ht="15.75" customHeight="1" x14ac:dyDescent="0.3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</row>
    <row r="740" spans="1:28" ht="15.75" customHeight="1" x14ac:dyDescent="0.3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</row>
    <row r="741" spans="1:28" ht="15.75" customHeight="1" x14ac:dyDescent="0.3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</row>
    <row r="742" spans="1:28" ht="15.75" customHeight="1" x14ac:dyDescent="0.3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</row>
    <row r="743" spans="1:28" ht="15.75" customHeight="1" x14ac:dyDescent="0.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</row>
    <row r="744" spans="1:28" ht="15.75" customHeight="1" x14ac:dyDescent="0.3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</row>
    <row r="745" spans="1:28" ht="15.75" customHeight="1" x14ac:dyDescent="0.3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</row>
    <row r="746" spans="1:28" ht="15.75" customHeight="1" x14ac:dyDescent="0.3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</row>
    <row r="747" spans="1:28" ht="15.75" customHeight="1" x14ac:dyDescent="0.3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</row>
    <row r="748" spans="1:28" ht="15.75" customHeight="1" x14ac:dyDescent="0.3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</row>
    <row r="749" spans="1:28" ht="15.75" customHeight="1" x14ac:dyDescent="0.3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</row>
    <row r="750" spans="1:28" ht="15.75" customHeight="1" x14ac:dyDescent="0.3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</row>
    <row r="751" spans="1:28" ht="15.75" customHeight="1" x14ac:dyDescent="0.3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</row>
    <row r="752" spans="1:28" ht="15.75" customHeight="1" x14ac:dyDescent="0.3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 spans="1:28" ht="15.75" customHeight="1" x14ac:dyDescent="0.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</row>
    <row r="754" spans="1:28" ht="15.75" customHeight="1" x14ac:dyDescent="0.3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</row>
    <row r="755" spans="1:28" ht="15.75" customHeight="1" x14ac:dyDescent="0.3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</row>
    <row r="756" spans="1:28" ht="15.75" customHeight="1" x14ac:dyDescent="0.3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</row>
    <row r="757" spans="1:28" ht="15.75" customHeight="1" x14ac:dyDescent="0.3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</row>
    <row r="758" spans="1:28" ht="15.75" customHeight="1" x14ac:dyDescent="0.3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</row>
    <row r="759" spans="1:28" ht="15.75" customHeight="1" x14ac:dyDescent="0.3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</row>
    <row r="760" spans="1:28" ht="15.75" customHeight="1" x14ac:dyDescent="0.3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</row>
    <row r="761" spans="1:28" ht="15.75" customHeight="1" x14ac:dyDescent="0.3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</row>
    <row r="762" spans="1:28" ht="15.75" customHeight="1" x14ac:dyDescent="0.3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</row>
    <row r="763" spans="1:28" ht="15.75" customHeight="1" x14ac:dyDescent="0.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</row>
    <row r="764" spans="1:28" ht="15.75" customHeight="1" x14ac:dyDescent="0.3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</row>
    <row r="765" spans="1:28" ht="15.75" customHeight="1" x14ac:dyDescent="0.3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</row>
    <row r="766" spans="1:28" ht="15.75" customHeight="1" x14ac:dyDescent="0.3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</row>
    <row r="767" spans="1:28" ht="15.75" customHeight="1" x14ac:dyDescent="0.3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</row>
    <row r="768" spans="1:28" ht="15.75" customHeight="1" x14ac:dyDescent="0.3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</row>
    <row r="769" spans="1:28" ht="15.75" customHeight="1" x14ac:dyDescent="0.3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</row>
    <row r="770" spans="1:28" ht="15.75" customHeight="1" x14ac:dyDescent="0.3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</row>
    <row r="771" spans="1:28" ht="15.75" customHeight="1" x14ac:dyDescent="0.3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</row>
    <row r="772" spans="1:28" ht="15.75" customHeight="1" x14ac:dyDescent="0.3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</row>
    <row r="773" spans="1:28" ht="15.75" customHeight="1" x14ac:dyDescent="0.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</row>
    <row r="774" spans="1:28" ht="15.75" customHeight="1" x14ac:dyDescent="0.3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</row>
    <row r="775" spans="1:28" ht="15.75" customHeight="1" x14ac:dyDescent="0.3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</row>
    <row r="776" spans="1:28" ht="15.75" customHeight="1" x14ac:dyDescent="0.3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</row>
    <row r="777" spans="1:28" ht="15.75" customHeight="1" x14ac:dyDescent="0.3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</row>
    <row r="778" spans="1:28" ht="15.75" customHeight="1" x14ac:dyDescent="0.3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</row>
    <row r="779" spans="1:28" ht="15.75" customHeight="1" x14ac:dyDescent="0.3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</row>
    <row r="780" spans="1:28" ht="15.75" customHeight="1" x14ac:dyDescent="0.3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</row>
    <row r="781" spans="1:28" ht="15.75" customHeight="1" x14ac:dyDescent="0.3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</row>
    <row r="782" spans="1:28" ht="15.75" customHeight="1" x14ac:dyDescent="0.3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</row>
    <row r="783" spans="1:28" ht="15.75" customHeight="1" x14ac:dyDescent="0.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</row>
    <row r="784" spans="1:28" ht="15.75" customHeight="1" x14ac:dyDescent="0.3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</row>
    <row r="785" spans="1:28" ht="15.75" customHeight="1" x14ac:dyDescent="0.3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</row>
    <row r="786" spans="1:28" ht="15.75" customHeight="1" x14ac:dyDescent="0.3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</row>
    <row r="787" spans="1:28" ht="15.75" customHeight="1" x14ac:dyDescent="0.3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</row>
    <row r="788" spans="1:28" ht="15.75" customHeight="1" x14ac:dyDescent="0.3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</row>
    <row r="789" spans="1:28" ht="15.75" customHeight="1" x14ac:dyDescent="0.3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</row>
    <row r="790" spans="1:28" ht="15.75" customHeight="1" x14ac:dyDescent="0.3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</row>
    <row r="791" spans="1:28" ht="15.75" customHeight="1" x14ac:dyDescent="0.3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</row>
    <row r="792" spans="1:28" ht="15.75" customHeight="1" x14ac:dyDescent="0.3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</row>
    <row r="793" spans="1:28" ht="15.75" customHeight="1" x14ac:dyDescent="0.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</row>
    <row r="794" spans="1:28" ht="15.75" customHeight="1" x14ac:dyDescent="0.3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</row>
    <row r="795" spans="1:28" ht="15.75" customHeight="1" x14ac:dyDescent="0.3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</row>
    <row r="796" spans="1:28" ht="15.75" customHeight="1" x14ac:dyDescent="0.3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</row>
    <row r="797" spans="1:28" ht="15.75" customHeight="1" x14ac:dyDescent="0.3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</row>
    <row r="798" spans="1:28" ht="15.75" customHeight="1" x14ac:dyDescent="0.3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</row>
    <row r="799" spans="1:28" ht="15.75" customHeight="1" x14ac:dyDescent="0.3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</row>
    <row r="800" spans="1:28" ht="15.75" customHeight="1" x14ac:dyDescent="0.3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</row>
    <row r="801" spans="1:28" ht="15.75" customHeight="1" x14ac:dyDescent="0.3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</row>
    <row r="802" spans="1:28" ht="15.75" customHeight="1" x14ac:dyDescent="0.3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</row>
    <row r="803" spans="1:28" ht="15.75" customHeight="1" x14ac:dyDescent="0.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</row>
    <row r="804" spans="1:28" ht="15.75" customHeight="1" x14ac:dyDescent="0.3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</row>
    <row r="805" spans="1:28" ht="15.75" customHeight="1" x14ac:dyDescent="0.3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</row>
    <row r="806" spans="1:28" ht="15.75" customHeight="1" x14ac:dyDescent="0.3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</row>
    <row r="807" spans="1:28" ht="15.75" customHeight="1" x14ac:dyDescent="0.3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</row>
    <row r="808" spans="1:28" ht="15.75" customHeight="1" x14ac:dyDescent="0.3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</row>
    <row r="809" spans="1:28" ht="15.75" customHeight="1" x14ac:dyDescent="0.3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</row>
    <row r="810" spans="1:28" ht="15.75" customHeight="1" x14ac:dyDescent="0.3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</row>
    <row r="811" spans="1:28" ht="15.75" customHeight="1" x14ac:dyDescent="0.3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</row>
    <row r="812" spans="1:28" ht="15.75" customHeight="1" x14ac:dyDescent="0.3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 spans="1:28" ht="15.75" customHeight="1" x14ac:dyDescent="0.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</row>
    <row r="814" spans="1:28" ht="15.75" customHeight="1" x14ac:dyDescent="0.3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</row>
    <row r="815" spans="1:28" ht="15.75" customHeight="1" x14ac:dyDescent="0.3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</row>
    <row r="816" spans="1:28" ht="15.75" customHeight="1" x14ac:dyDescent="0.3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</row>
    <row r="817" spans="1:28" ht="15.75" customHeight="1" x14ac:dyDescent="0.3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</row>
    <row r="818" spans="1:28" ht="15.75" customHeight="1" x14ac:dyDescent="0.3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</row>
    <row r="819" spans="1:28" ht="15.75" customHeight="1" x14ac:dyDescent="0.3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</row>
    <row r="820" spans="1:28" ht="15.75" customHeight="1" x14ac:dyDescent="0.3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</row>
    <row r="821" spans="1:28" ht="15.75" customHeight="1" x14ac:dyDescent="0.3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</row>
    <row r="822" spans="1:28" ht="15.75" customHeight="1" x14ac:dyDescent="0.3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</row>
    <row r="823" spans="1:28" ht="15.75" customHeight="1" x14ac:dyDescent="0.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</row>
    <row r="824" spans="1:28" ht="15.75" customHeight="1" x14ac:dyDescent="0.3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</row>
    <row r="825" spans="1:28" ht="15.75" customHeight="1" x14ac:dyDescent="0.3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</row>
    <row r="826" spans="1:28" ht="15.75" customHeight="1" x14ac:dyDescent="0.3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</row>
    <row r="827" spans="1:28" ht="15.75" customHeight="1" x14ac:dyDescent="0.3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</row>
    <row r="828" spans="1:28" ht="15.75" customHeight="1" x14ac:dyDescent="0.3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</row>
    <row r="829" spans="1:28" ht="15.75" customHeight="1" x14ac:dyDescent="0.3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</row>
    <row r="830" spans="1:28" ht="15.75" customHeight="1" x14ac:dyDescent="0.3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</row>
    <row r="831" spans="1:28" ht="15.75" customHeight="1" x14ac:dyDescent="0.3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</row>
    <row r="832" spans="1:28" ht="15.75" customHeight="1" x14ac:dyDescent="0.3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</row>
    <row r="833" spans="1:28" ht="15.75" customHeight="1" x14ac:dyDescent="0.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</row>
    <row r="834" spans="1:28" ht="15.75" customHeight="1" x14ac:dyDescent="0.3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</row>
    <row r="835" spans="1:28" ht="15.75" customHeight="1" x14ac:dyDescent="0.3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</row>
    <row r="836" spans="1:28" ht="15.75" customHeight="1" x14ac:dyDescent="0.3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</row>
    <row r="837" spans="1:28" ht="15.75" customHeight="1" x14ac:dyDescent="0.3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</row>
    <row r="838" spans="1:28" ht="15.75" customHeight="1" x14ac:dyDescent="0.3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</row>
    <row r="839" spans="1:28" ht="15.75" customHeight="1" x14ac:dyDescent="0.3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</row>
    <row r="840" spans="1:28" ht="15.75" customHeight="1" x14ac:dyDescent="0.3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</row>
    <row r="841" spans="1:28" ht="15.75" customHeight="1" x14ac:dyDescent="0.3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</row>
    <row r="842" spans="1:28" ht="15.75" customHeight="1" x14ac:dyDescent="0.3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</row>
    <row r="843" spans="1:28" ht="15.75" customHeight="1" x14ac:dyDescent="0.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</row>
    <row r="844" spans="1:28" ht="15.75" customHeight="1" x14ac:dyDescent="0.3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</row>
    <row r="845" spans="1:28" ht="15.75" customHeight="1" x14ac:dyDescent="0.3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</row>
    <row r="846" spans="1:28" ht="15.75" customHeight="1" x14ac:dyDescent="0.3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</row>
    <row r="847" spans="1:28" ht="15.75" customHeight="1" x14ac:dyDescent="0.3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</row>
    <row r="848" spans="1:28" ht="15.75" customHeight="1" x14ac:dyDescent="0.3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</row>
    <row r="849" spans="1:28" ht="15.75" customHeight="1" x14ac:dyDescent="0.3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</row>
    <row r="850" spans="1:28" ht="15.75" customHeight="1" x14ac:dyDescent="0.3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</row>
    <row r="851" spans="1:28" ht="15.75" customHeight="1" x14ac:dyDescent="0.3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</row>
    <row r="852" spans="1:28" ht="15.75" customHeight="1" x14ac:dyDescent="0.3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</row>
    <row r="853" spans="1:28" ht="15.75" customHeight="1" x14ac:dyDescent="0.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</row>
    <row r="854" spans="1:28" ht="15.75" customHeight="1" x14ac:dyDescent="0.3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</row>
    <row r="855" spans="1:28" ht="15.75" customHeight="1" x14ac:dyDescent="0.3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</row>
    <row r="856" spans="1:28" ht="15.75" customHeight="1" x14ac:dyDescent="0.3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</row>
    <row r="857" spans="1:28" ht="15.75" customHeight="1" x14ac:dyDescent="0.3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</row>
    <row r="858" spans="1:28" ht="15.75" customHeight="1" x14ac:dyDescent="0.3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</row>
    <row r="859" spans="1:28" ht="15.75" customHeight="1" x14ac:dyDescent="0.3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</row>
    <row r="860" spans="1:28" ht="15.75" customHeight="1" x14ac:dyDescent="0.3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</row>
    <row r="861" spans="1:28" ht="15.75" customHeight="1" x14ac:dyDescent="0.3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</row>
    <row r="862" spans="1:28" ht="15.75" customHeight="1" x14ac:dyDescent="0.3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</row>
    <row r="863" spans="1:28" ht="15.75" customHeight="1" x14ac:dyDescent="0.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</row>
    <row r="864" spans="1:28" ht="15.75" customHeight="1" x14ac:dyDescent="0.3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</row>
    <row r="865" spans="1:28" ht="15.75" customHeight="1" x14ac:dyDescent="0.3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</row>
    <row r="866" spans="1:28" ht="15.75" customHeight="1" x14ac:dyDescent="0.3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</row>
    <row r="867" spans="1:28" ht="15.75" customHeight="1" x14ac:dyDescent="0.3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</row>
    <row r="868" spans="1:28" ht="15.75" customHeight="1" x14ac:dyDescent="0.3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</row>
    <row r="869" spans="1:28" ht="15.75" customHeight="1" x14ac:dyDescent="0.3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</row>
    <row r="870" spans="1:28" ht="15.75" customHeight="1" x14ac:dyDescent="0.3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</row>
    <row r="871" spans="1:28" ht="15.75" customHeight="1" x14ac:dyDescent="0.3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</row>
    <row r="872" spans="1:28" ht="15.75" customHeight="1" x14ac:dyDescent="0.3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 spans="1:28" ht="15.75" customHeight="1" x14ac:dyDescent="0.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</row>
    <row r="874" spans="1:28" ht="15.75" customHeight="1" x14ac:dyDescent="0.3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</row>
    <row r="875" spans="1:28" ht="15.75" customHeight="1" x14ac:dyDescent="0.3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</row>
    <row r="876" spans="1:28" ht="15.75" customHeight="1" x14ac:dyDescent="0.3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</row>
    <row r="877" spans="1:28" ht="15.75" customHeight="1" x14ac:dyDescent="0.3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</row>
    <row r="878" spans="1:28" ht="15.75" customHeight="1" x14ac:dyDescent="0.3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</row>
    <row r="879" spans="1:28" ht="15.75" customHeight="1" x14ac:dyDescent="0.3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</row>
    <row r="880" spans="1:28" ht="15.75" customHeight="1" x14ac:dyDescent="0.3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</row>
    <row r="881" spans="1:28" ht="15.75" customHeight="1" x14ac:dyDescent="0.3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</row>
    <row r="882" spans="1:28" ht="15.75" customHeight="1" x14ac:dyDescent="0.3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</row>
    <row r="883" spans="1:28" ht="15.75" customHeight="1" x14ac:dyDescent="0.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</row>
    <row r="884" spans="1:28" ht="15.75" customHeight="1" x14ac:dyDescent="0.3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</row>
    <row r="885" spans="1:28" ht="15.75" customHeight="1" x14ac:dyDescent="0.3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</row>
    <row r="886" spans="1:28" ht="15.75" customHeight="1" x14ac:dyDescent="0.3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</row>
    <row r="887" spans="1:28" ht="15.75" customHeight="1" x14ac:dyDescent="0.3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</row>
    <row r="888" spans="1:28" ht="15.75" customHeight="1" x14ac:dyDescent="0.3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</row>
    <row r="889" spans="1:28" ht="15.75" customHeight="1" x14ac:dyDescent="0.3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</row>
    <row r="890" spans="1:28" ht="15.75" customHeight="1" x14ac:dyDescent="0.3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</row>
    <row r="891" spans="1:28" ht="15.75" customHeight="1" x14ac:dyDescent="0.3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</row>
    <row r="892" spans="1:28" ht="15.75" customHeight="1" x14ac:dyDescent="0.3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</row>
    <row r="893" spans="1:28" ht="15.75" customHeight="1" x14ac:dyDescent="0.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</row>
    <row r="894" spans="1:28" ht="15.75" customHeight="1" x14ac:dyDescent="0.3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</row>
    <row r="895" spans="1:28" ht="15.75" customHeight="1" x14ac:dyDescent="0.3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</row>
    <row r="896" spans="1:28" ht="15.75" customHeight="1" x14ac:dyDescent="0.3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</row>
    <row r="897" spans="1:28" ht="15.75" customHeight="1" x14ac:dyDescent="0.3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</row>
    <row r="898" spans="1:28" ht="15.75" customHeight="1" x14ac:dyDescent="0.3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</row>
    <row r="899" spans="1:28" ht="15.75" customHeight="1" x14ac:dyDescent="0.3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</row>
    <row r="900" spans="1:28" ht="15.75" customHeight="1" x14ac:dyDescent="0.3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</row>
    <row r="901" spans="1:28" ht="15.75" customHeight="1" x14ac:dyDescent="0.3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</row>
    <row r="902" spans="1:28" ht="15.75" customHeight="1" x14ac:dyDescent="0.3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</row>
    <row r="903" spans="1:28" ht="15.75" customHeight="1" x14ac:dyDescent="0.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</row>
    <row r="904" spans="1:28" ht="15.75" customHeight="1" x14ac:dyDescent="0.3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</row>
    <row r="905" spans="1:28" ht="15.75" customHeight="1" x14ac:dyDescent="0.3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</row>
    <row r="906" spans="1:28" ht="15.75" customHeight="1" x14ac:dyDescent="0.3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</row>
    <row r="907" spans="1:28" ht="15.75" customHeight="1" x14ac:dyDescent="0.3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</row>
    <row r="908" spans="1:28" ht="15.75" customHeight="1" x14ac:dyDescent="0.3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</row>
    <row r="909" spans="1:28" ht="15.75" customHeight="1" x14ac:dyDescent="0.3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</row>
    <row r="910" spans="1:28" ht="15.75" customHeight="1" x14ac:dyDescent="0.3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</row>
    <row r="911" spans="1:28" ht="15.75" customHeight="1" x14ac:dyDescent="0.3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</row>
    <row r="912" spans="1:28" ht="15.75" customHeight="1" x14ac:dyDescent="0.3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</row>
    <row r="913" spans="1:28" ht="15.75" customHeight="1" x14ac:dyDescent="0.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</row>
    <row r="914" spans="1:28" ht="15.75" customHeight="1" x14ac:dyDescent="0.3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</row>
    <row r="915" spans="1:28" ht="15.75" customHeight="1" x14ac:dyDescent="0.3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</row>
    <row r="916" spans="1:28" ht="15.75" customHeight="1" x14ac:dyDescent="0.3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</row>
    <row r="917" spans="1:28" ht="15.75" customHeight="1" x14ac:dyDescent="0.3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</row>
    <row r="918" spans="1:28" ht="15.75" customHeight="1" x14ac:dyDescent="0.3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</row>
    <row r="919" spans="1:28" ht="15.75" customHeight="1" x14ac:dyDescent="0.3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</row>
    <row r="920" spans="1:28" ht="15.75" customHeight="1" x14ac:dyDescent="0.3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</row>
    <row r="921" spans="1:28" ht="15.75" customHeight="1" x14ac:dyDescent="0.3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</row>
    <row r="922" spans="1:28" ht="15.75" customHeight="1" x14ac:dyDescent="0.3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</row>
    <row r="923" spans="1:28" ht="15.75" customHeight="1" x14ac:dyDescent="0.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</row>
    <row r="924" spans="1:28" ht="15.75" customHeight="1" x14ac:dyDescent="0.3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</row>
    <row r="925" spans="1:28" ht="15.75" customHeight="1" x14ac:dyDescent="0.3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</row>
    <row r="926" spans="1:28" ht="15.75" customHeight="1" x14ac:dyDescent="0.3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</row>
    <row r="927" spans="1:28" ht="15.75" customHeight="1" x14ac:dyDescent="0.3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</row>
    <row r="928" spans="1:28" ht="15.75" customHeight="1" x14ac:dyDescent="0.3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</row>
    <row r="929" spans="1:28" ht="15.75" customHeight="1" x14ac:dyDescent="0.3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</row>
    <row r="930" spans="1:28" ht="15.75" customHeight="1" x14ac:dyDescent="0.3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</row>
    <row r="931" spans="1:28" ht="15.75" customHeight="1" x14ac:dyDescent="0.3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</row>
    <row r="932" spans="1:28" ht="15.75" customHeight="1" x14ac:dyDescent="0.3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 spans="1:28" ht="15.75" customHeight="1" x14ac:dyDescent="0.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</row>
    <row r="934" spans="1:28" ht="15.75" customHeight="1" x14ac:dyDescent="0.3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</row>
    <row r="935" spans="1:28" ht="15.75" customHeight="1" x14ac:dyDescent="0.3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</row>
    <row r="936" spans="1:28" ht="15.75" customHeight="1" x14ac:dyDescent="0.3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</row>
    <row r="937" spans="1:28" ht="15.75" customHeight="1" x14ac:dyDescent="0.3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</row>
    <row r="938" spans="1:28" ht="15.75" customHeight="1" x14ac:dyDescent="0.3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</row>
    <row r="939" spans="1:28" ht="15.75" customHeight="1" x14ac:dyDescent="0.3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</row>
    <row r="940" spans="1:28" ht="15.75" customHeight="1" x14ac:dyDescent="0.3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</row>
    <row r="941" spans="1:28" ht="15.75" customHeight="1" x14ac:dyDescent="0.3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</row>
    <row r="942" spans="1:28" ht="15.75" customHeight="1" x14ac:dyDescent="0.3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</row>
    <row r="943" spans="1:28" ht="15.75" customHeight="1" x14ac:dyDescent="0.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</row>
    <row r="944" spans="1:28" ht="15.75" customHeight="1" x14ac:dyDescent="0.3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</row>
    <row r="945" spans="1:28" ht="15.75" customHeight="1" x14ac:dyDescent="0.3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</row>
    <row r="946" spans="1:28" ht="15.75" customHeight="1" x14ac:dyDescent="0.3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</row>
    <row r="947" spans="1:28" ht="15.75" customHeight="1" x14ac:dyDescent="0.3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</row>
    <row r="948" spans="1:28" ht="15.75" customHeight="1" x14ac:dyDescent="0.3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</row>
    <row r="949" spans="1:28" ht="15.75" customHeight="1" x14ac:dyDescent="0.3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</row>
    <row r="950" spans="1:28" ht="15.75" customHeight="1" x14ac:dyDescent="0.3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</row>
    <row r="951" spans="1:28" ht="15.75" customHeight="1" x14ac:dyDescent="0.3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</row>
    <row r="952" spans="1:28" ht="15.75" customHeight="1" x14ac:dyDescent="0.3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</row>
    <row r="953" spans="1:28" ht="15.75" customHeight="1" x14ac:dyDescent="0.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</row>
    <row r="954" spans="1:28" ht="15.75" customHeight="1" x14ac:dyDescent="0.3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</row>
    <row r="955" spans="1:28" ht="15.75" customHeight="1" x14ac:dyDescent="0.3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</row>
    <row r="956" spans="1:28" ht="15.75" customHeight="1" x14ac:dyDescent="0.3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</row>
    <row r="957" spans="1:28" ht="15.75" customHeight="1" x14ac:dyDescent="0.3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</row>
    <row r="958" spans="1:28" ht="15.75" customHeight="1" x14ac:dyDescent="0.3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</row>
    <row r="959" spans="1:28" ht="15.75" customHeight="1" x14ac:dyDescent="0.3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</row>
    <row r="960" spans="1:28" ht="15.75" customHeight="1" x14ac:dyDescent="0.3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</row>
    <row r="961" spans="1:28" ht="15.75" customHeight="1" x14ac:dyDescent="0.3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</row>
    <row r="962" spans="1:28" ht="15.75" customHeight="1" x14ac:dyDescent="0.3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</row>
    <row r="963" spans="1:28" ht="15.75" customHeight="1" x14ac:dyDescent="0.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</row>
    <row r="964" spans="1:28" ht="15.75" customHeight="1" x14ac:dyDescent="0.3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</row>
    <row r="965" spans="1:28" ht="15.75" customHeight="1" x14ac:dyDescent="0.3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</row>
    <row r="966" spans="1:28" ht="15.75" customHeight="1" x14ac:dyDescent="0.3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</row>
    <row r="967" spans="1:28" ht="15.75" customHeight="1" x14ac:dyDescent="0.3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</row>
    <row r="968" spans="1:28" ht="15.75" customHeight="1" x14ac:dyDescent="0.3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</row>
    <row r="969" spans="1:28" ht="15.75" customHeight="1" x14ac:dyDescent="0.3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</row>
    <row r="970" spans="1:28" ht="15.75" customHeight="1" x14ac:dyDescent="0.3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</row>
    <row r="971" spans="1:28" ht="15.75" customHeight="1" x14ac:dyDescent="0.3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</row>
    <row r="972" spans="1:28" ht="15.75" customHeight="1" x14ac:dyDescent="0.3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</row>
    <row r="973" spans="1:28" ht="15.75" customHeight="1" x14ac:dyDescent="0.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</row>
    <row r="974" spans="1:28" ht="15.75" customHeight="1" x14ac:dyDescent="0.3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</row>
    <row r="975" spans="1:28" ht="15.75" customHeight="1" x14ac:dyDescent="0.3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</row>
    <row r="976" spans="1:28" ht="15.75" customHeight="1" x14ac:dyDescent="0.3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</row>
    <row r="977" spans="1:28" ht="15.75" customHeight="1" x14ac:dyDescent="0.3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</row>
    <row r="978" spans="1:28" ht="15.75" customHeight="1" x14ac:dyDescent="0.3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</row>
    <row r="979" spans="1:28" ht="15.75" customHeight="1" x14ac:dyDescent="0.3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</row>
    <row r="980" spans="1:28" ht="15.75" customHeight="1" x14ac:dyDescent="0.3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</row>
    <row r="981" spans="1:28" ht="15.75" customHeight="1" x14ac:dyDescent="0.3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</row>
    <row r="982" spans="1:28" ht="15.75" customHeight="1" x14ac:dyDescent="0.3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</row>
    <row r="983" spans="1:28" ht="15.75" customHeight="1" x14ac:dyDescent="0.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</row>
    <row r="984" spans="1:28" ht="15.75" customHeight="1" x14ac:dyDescent="0.3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</row>
    <row r="985" spans="1:28" ht="15.75" customHeight="1" x14ac:dyDescent="0.3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</row>
    <row r="986" spans="1:28" ht="15.75" customHeight="1" x14ac:dyDescent="0.3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</row>
    <row r="987" spans="1:28" ht="15.75" customHeight="1" x14ac:dyDescent="0.3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</row>
    <row r="988" spans="1:28" ht="15.75" customHeight="1" x14ac:dyDescent="0.3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</row>
    <row r="989" spans="1:28" ht="15.75" customHeight="1" x14ac:dyDescent="0.3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</row>
    <row r="990" spans="1:28" ht="15.75" customHeight="1" x14ac:dyDescent="0.3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</row>
    <row r="991" spans="1:28" ht="15.75" customHeight="1" x14ac:dyDescent="0.3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</row>
    <row r="992" spans="1:28" ht="15.75" customHeight="1" x14ac:dyDescent="0.3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</row>
    <row r="993" spans="1:28" ht="15.75" customHeight="1" x14ac:dyDescent="0.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</row>
    <row r="994" spans="1:28" ht="15.75" customHeight="1" x14ac:dyDescent="0.3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</row>
    <row r="995" spans="1:28" ht="15.75" customHeight="1" x14ac:dyDescent="0.3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</row>
    <row r="996" spans="1:28" ht="15.75" customHeight="1" x14ac:dyDescent="0.3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</row>
    <row r="997" spans="1:28" ht="15.75" customHeight="1" x14ac:dyDescent="0.3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</row>
    <row r="998" spans="1:28" ht="15.75" customHeight="1" x14ac:dyDescent="0.3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</row>
    <row r="999" spans="1:28" ht="15.75" customHeight="1" x14ac:dyDescent="0.3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</row>
    <row r="1000" spans="1:28" ht="15.75" customHeight="1" x14ac:dyDescent="0.3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</row>
    <row r="1001" spans="1:28" ht="15.75" customHeight="1" x14ac:dyDescent="0.3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</row>
    <row r="1002" spans="1:28" ht="15.75" customHeight="1" x14ac:dyDescent="0.3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</row>
    <row r="1003" spans="1:28" ht="15.75" customHeight="1" x14ac:dyDescent="0.3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</row>
    <row r="1004" spans="1:28" ht="15.75" customHeight="1" x14ac:dyDescent="0.3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</row>
    <row r="1005" spans="1:28" ht="15.75" customHeight="1" x14ac:dyDescent="0.3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</row>
    <row r="1006" spans="1:28" ht="15.75" customHeight="1" x14ac:dyDescent="0.3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</row>
    <row r="1007" spans="1:28" ht="15.75" customHeight="1" x14ac:dyDescent="0.3">
      <c r="A1007" s="74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</row>
    <row r="1008" spans="1:28" ht="15.75" customHeight="1" x14ac:dyDescent="0.3">
      <c r="A1008" s="74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</row>
    <row r="1009" spans="1:28" ht="15.75" customHeight="1" x14ac:dyDescent="0.3">
      <c r="A1009" s="74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</row>
    <row r="1010" spans="1:28" ht="15.75" customHeight="1" x14ac:dyDescent="0.3">
      <c r="A1010" s="74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</row>
    <row r="1011" spans="1:28" ht="15.75" customHeight="1" x14ac:dyDescent="0.3">
      <c r="A1011" s="74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</row>
    <row r="1012" spans="1:28" ht="15.75" customHeight="1" x14ac:dyDescent="0.3">
      <c r="A1012" s="74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</row>
    <row r="1013" spans="1:28" ht="15.75" customHeight="1" x14ac:dyDescent="0.3">
      <c r="A1013" s="74"/>
      <c r="B1013" s="74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</row>
    <row r="1014" spans="1:28" ht="15.75" customHeight="1" x14ac:dyDescent="0.3">
      <c r="A1014" s="74"/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</row>
    <row r="1015" spans="1:28" ht="15.75" customHeight="1" x14ac:dyDescent="0.3">
      <c r="A1015" s="74"/>
      <c r="B1015" s="74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</row>
    <row r="1016" spans="1:28" ht="15.75" customHeight="1" x14ac:dyDescent="0.3">
      <c r="A1016" s="74"/>
      <c r="B1016" s="74"/>
      <c r="C1016" s="74"/>
      <c r="D1016" s="74"/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4"/>
      <c r="P1016" s="7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</row>
    <row r="1017" spans="1:28" ht="15.75" customHeight="1" x14ac:dyDescent="0.3">
      <c r="A1017" s="74"/>
      <c r="B1017" s="74"/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4"/>
      <c r="P1017" s="74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</row>
    <row r="1018" spans="1:28" ht="15.75" customHeight="1" x14ac:dyDescent="0.3">
      <c r="A1018" s="74"/>
      <c r="B1018" s="74"/>
      <c r="C1018" s="74"/>
      <c r="D1018" s="74"/>
      <c r="E1018" s="74"/>
      <c r="F1018" s="74"/>
      <c r="G1018" s="74"/>
      <c r="H1018" s="74"/>
      <c r="I1018" s="74"/>
      <c r="J1018" s="74"/>
      <c r="K1018" s="74"/>
      <c r="L1018" s="74"/>
      <c r="M1018" s="74"/>
      <c r="N1018" s="74"/>
      <c r="O1018" s="74"/>
      <c r="P1018" s="74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</row>
    <row r="1019" spans="1:28" ht="15.75" customHeight="1" x14ac:dyDescent="0.3">
      <c r="A1019" s="74"/>
      <c r="B1019" s="74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4"/>
      <c r="P1019" s="74"/>
      <c r="Q1019" s="74"/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</row>
    <row r="1020" spans="1:28" ht="15.75" customHeight="1" x14ac:dyDescent="0.3">
      <c r="A1020" s="74"/>
      <c r="B1020" s="74"/>
      <c r="C1020" s="74"/>
      <c r="D1020" s="74"/>
      <c r="E1020" s="74"/>
      <c r="F1020" s="74"/>
      <c r="G1020" s="74"/>
      <c r="H1020" s="74"/>
      <c r="I1020" s="74"/>
      <c r="J1020" s="74"/>
      <c r="K1020" s="74"/>
      <c r="L1020" s="74"/>
      <c r="M1020" s="74"/>
      <c r="N1020" s="74"/>
      <c r="O1020" s="74"/>
      <c r="P1020" s="74"/>
      <c r="Q1020" s="74"/>
      <c r="R1020" s="74"/>
      <c r="S1020" s="74"/>
      <c r="T1020" s="74"/>
      <c r="U1020" s="74"/>
      <c r="V1020" s="74"/>
      <c r="W1020" s="74"/>
      <c r="X1020" s="74"/>
      <c r="Y1020" s="74"/>
      <c r="Z1020" s="74"/>
      <c r="AA1020" s="74"/>
      <c r="AB1020" s="74"/>
    </row>
    <row r="1021" spans="1:28" ht="15.75" customHeight="1" x14ac:dyDescent="0.3">
      <c r="A1021" s="74"/>
      <c r="B1021" s="74"/>
      <c r="C1021" s="74"/>
      <c r="D1021" s="74"/>
      <c r="E1021" s="74"/>
      <c r="F1021" s="74"/>
      <c r="G1021" s="74"/>
      <c r="H1021" s="74"/>
      <c r="I1021" s="74"/>
      <c r="J1021" s="74"/>
      <c r="K1021" s="74"/>
      <c r="L1021" s="74"/>
      <c r="M1021" s="74"/>
      <c r="N1021" s="74"/>
      <c r="O1021" s="74"/>
      <c r="P1021" s="74"/>
      <c r="Q1021" s="74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</row>
    <row r="1022" spans="1:28" ht="15.75" customHeight="1" x14ac:dyDescent="0.3">
      <c r="A1022" s="74"/>
      <c r="B1022" s="74"/>
      <c r="C1022" s="74"/>
      <c r="D1022" s="74"/>
      <c r="E1022" s="74"/>
      <c r="F1022" s="74"/>
      <c r="G1022" s="74"/>
      <c r="H1022" s="74"/>
      <c r="I1022" s="74"/>
      <c r="J1022" s="74"/>
      <c r="K1022" s="74"/>
      <c r="L1022" s="74"/>
      <c r="M1022" s="74"/>
      <c r="N1022" s="74"/>
      <c r="O1022" s="74"/>
      <c r="P1022" s="74"/>
      <c r="Q1022" s="74"/>
      <c r="R1022" s="74"/>
      <c r="S1022" s="74"/>
      <c r="T1022" s="74"/>
      <c r="U1022" s="74"/>
      <c r="V1022" s="74"/>
      <c r="W1022" s="74"/>
      <c r="X1022" s="74"/>
      <c r="Y1022" s="74"/>
      <c r="Z1022" s="74"/>
      <c r="AA1022" s="74"/>
      <c r="AB1022" s="74"/>
    </row>
  </sheetData>
  <mergeCells count="24">
    <mergeCell ref="B46:C46"/>
    <mergeCell ref="A8:Q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P10:Q10"/>
    <mergeCell ref="A41:P41"/>
    <mergeCell ref="B42:C42"/>
    <mergeCell ref="B44:C44"/>
    <mergeCell ref="B45:C45"/>
    <mergeCell ref="N52:O52"/>
    <mergeCell ref="P52:Q52"/>
    <mergeCell ref="B47:C47"/>
    <mergeCell ref="B52:C52"/>
    <mergeCell ref="D52:E52"/>
    <mergeCell ref="F52:G52"/>
    <mergeCell ref="J52:K52"/>
    <mergeCell ref="L52:M52"/>
  </mergeCells>
  <pageMargins left="0.7" right="0.7" top="0.75" bottom="0.75" header="0" footer="0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F0BE-F553-4578-8664-3A0B984D5A78}">
  <sheetPr>
    <pageSetUpPr fitToPage="1"/>
  </sheetPr>
  <dimension ref="A1:AB1014"/>
  <sheetViews>
    <sheetView topLeftCell="A23" workbookViewId="0">
      <selection activeCell="K35" sqref="K35"/>
    </sheetView>
  </sheetViews>
  <sheetFormatPr baseColWidth="10" defaultColWidth="14.44140625" defaultRowHeight="15" customHeight="1" x14ac:dyDescent="0.3"/>
  <cols>
    <col min="1" max="1" width="42.109375" style="168" customWidth="1"/>
    <col min="2" max="2" width="6.33203125" style="168" customWidth="1"/>
    <col min="3" max="3" width="7.88671875" style="168" customWidth="1"/>
    <col min="4" max="4" width="11.44140625" style="168" customWidth="1"/>
    <col min="5" max="5" width="14.109375" style="168" customWidth="1"/>
    <col min="6" max="6" width="11.44140625" style="168" customWidth="1"/>
    <col min="7" max="7" width="14.109375" style="168" customWidth="1"/>
    <col min="8" max="8" width="12" style="168" customWidth="1"/>
    <col min="9" max="9" width="12.5546875" style="168" bestFit="1" customWidth="1"/>
    <col min="10" max="10" width="12" style="168" customWidth="1"/>
    <col min="11" max="11" width="14.109375" style="168" customWidth="1"/>
    <col min="12" max="12" width="12" style="168" hidden="1" customWidth="1"/>
    <col min="13" max="13" width="14.109375" style="168" hidden="1" customWidth="1"/>
    <col min="14" max="14" width="12" style="168" hidden="1" customWidth="1"/>
    <col min="15" max="15" width="14.109375" style="168" hidden="1" customWidth="1"/>
    <col min="16" max="16" width="12" style="168" customWidth="1"/>
    <col min="17" max="17" width="14.109375" style="168" customWidth="1"/>
    <col min="18" max="28" width="10.6640625" style="168" customWidth="1"/>
    <col min="29" max="16384" width="14.44140625" style="168"/>
  </cols>
  <sheetData>
    <row r="1" spans="1:28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x14ac:dyDescent="0.3">
      <c r="A2" s="5" t="s">
        <v>184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</row>
    <row r="3" spans="1:28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1:28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spans="1:28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</row>
    <row r="6" spans="1:28" x14ac:dyDescent="0.3">
      <c r="A6" s="5" t="s">
        <v>97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</row>
    <row r="7" spans="1:28" x14ac:dyDescent="0.3">
      <c r="A7" s="185" t="s">
        <v>132</v>
      </c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</row>
    <row r="8" spans="1:28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5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</row>
    <row r="9" spans="1:28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</row>
    <row r="10" spans="1:28" ht="14.4" x14ac:dyDescent="0.3">
      <c r="A10" s="310" t="s">
        <v>6</v>
      </c>
      <c r="B10" s="311" t="s">
        <v>7</v>
      </c>
      <c r="C10" s="312" t="s">
        <v>8</v>
      </c>
      <c r="D10" s="309" t="s">
        <v>9</v>
      </c>
      <c r="E10" s="271"/>
      <c r="F10" s="307" t="s">
        <v>70</v>
      </c>
      <c r="G10" s="271"/>
      <c r="H10" s="307" t="s">
        <v>32</v>
      </c>
      <c r="I10" s="271"/>
      <c r="J10" s="309" t="s">
        <v>185</v>
      </c>
      <c r="K10" s="282"/>
      <c r="L10" s="307"/>
      <c r="M10" s="271"/>
      <c r="N10" s="307"/>
      <c r="O10" s="271"/>
      <c r="P10" s="307" t="s">
        <v>12</v>
      </c>
      <c r="Q10" s="271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</row>
    <row r="11" spans="1:28" thickBot="1" x14ac:dyDescent="0.35">
      <c r="A11" s="294"/>
      <c r="B11" s="292"/>
      <c r="C11" s="292"/>
      <c r="D11" s="89" t="s">
        <v>13</v>
      </c>
      <c r="E11" s="90" t="s">
        <v>14</v>
      </c>
      <c r="F11" s="91" t="s">
        <v>13</v>
      </c>
      <c r="G11" s="90" t="s">
        <v>14</v>
      </c>
      <c r="H11" s="91" t="s">
        <v>13</v>
      </c>
      <c r="I11" s="90" t="s">
        <v>14</v>
      </c>
      <c r="J11" s="89" t="s">
        <v>13</v>
      </c>
      <c r="K11" s="92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  <c r="P11" s="91" t="s">
        <v>13</v>
      </c>
      <c r="Q11" s="90" t="s">
        <v>14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</row>
    <row r="12" spans="1:28" ht="14.4" x14ac:dyDescent="0.3">
      <c r="A12" s="206" t="s">
        <v>133</v>
      </c>
      <c r="B12" s="12" t="s">
        <v>7</v>
      </c>
      <c r="C12" s="170">
        <v>1</v>
      </c>
      <c r="D12" s="186">
        <v>3791.61</v>
      </c>
      <c r="E12" s="95">
        <f>D12*C12</f>
        <v>3791.61</v>
      </c>
      <c r="F12" s="187">
        <v>3729.28</v>
      </c>
      <c r="G12" s="97">
        <f t="shared" ref="G12:G17" si="0">C12*F12</f>
        <v>3729.28</v>
      </c>
      <c r="H12" s="187"/>
      <c r="I12" s="97">
        <f t="shared" ref="I12:I18" si="1">C12*H12</f>
        <v>0</v>
      </c>
      <c r="J12" s="205">
        <f>5850/1.21</f>
        <v>4834.7107438016528</v>
      </c>
      <c r="K12" s="98">
        <f t="shared" ref="K12:K18" si="2">C12*J12</f>
        <v>4834.7107438016528</v>
      </c>
      <c r="L12" s="179"/>
      <c r="M12" s="97">
        <f t="shared" ref="M12:M18" si="3">C12*L12</f>
        <v>0</v>
      </c>
      <c r="N12" s="179"/>
      <c r="O12" s="97">
        <f t="shared" ref="O12:O18" si="4">C12*N12</f>
        <v>0</v>
      </c>
      <c r="P12" s="99">
        <f t="shared" ref="P12:P18" si="5">MIN(D12,F12,H12,J12,L12,N12)</f>
        <v>3729.28</v>
      </c>
      <c r="Q12" s="188">
        <f t="shared" ref="Q12:Q18" si="6">P12*C12</f>
        <v>3729.28</v>
      </c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</row>
    <row r="13" spans="1:28" ht="14.4" x14ac:dyDescent="0.3">
      <c r="A13" s="207" t="s">
        <v>134</v>
      </c>
      <c r="B13" s="12" t="s">
        <v>7</v>
      </c>
      <c r="C13" s="170">
        <v>2</v>
      </c>
      <c r="D13" s="186">
        <v>706.08</v>
      </c>
      <c r="E13" s="95">
        <f t="shared" ref="E13:E18" si="7">D13*C13</f>
        <v>1412.16</v>
      </c>
      <c r="F13" s="187">
        <v>607.51</v>
      </c>
      <c r="G13" s="97">
        <f t="shared" si="0"/>
        <v>1215.02</v>
      </c>
      <c r="H13" s="187"/>
      <c r="I13" s="97">
        <f t="shared" si="1"/>
        <v>0</v>
      </c>
      <c r="J13" s="205">
        <f>990/1.21</f>
        <v>818.18181818181824</v>
      </c>
      <c r="K13" s="98">
        <f t="shared" si="2"/>
        <v>1636.3636363636365</v>
      </c>
      <c r="L13" s="179"/>
      <c r="M13" s="97">
        <f t="shared" si="3"/>
        <v>0</v>
      </c>
      <c r="N13" s="179"/>
      <c r="O13" s="97">
        <f t="shared" si="4"/>
        <v>0</v>
      </c>
      <c r="P13" s="99">
        <f t="shared" si="5"/>
        <v>607.51</v>
      </c>
      <c r="Q13" s="188">
        <f t="shared" si="6"/>
        <v>1215.02</v>
      </c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</row>
    <row r="14" spans="1:28" ht="14.4" x14ac:dyDescent="0.3">
      <c r="A14" s="207" t="s">
        <v>131</v>
      </c>
      <c r="B14" s="12" t="s">
        <v>7</v>
      </c>
      <c r="C14" s="170">
        <v>1</v>
      </c>
      <c r="D14" s="186">
        <v>1534.52</v>
      </c>
      <c r="E14" s="95">
        <f t="shared" si="7"/>
        <v>1534.52</v>
      </c>
      <c r="F14" s="187">
        <v>1194.95</v>
      </c>
      <c r="G14" s="97">
        <f t="shared" si="0"/>
        <v>1194.95</v>
      </c>
      <c r="H14" s="187"/>
      <c r="I14" s="97">
        <f t="shared" si="1"/>
        <v>0</v>
      </c>
      <c r="J14" s="205">
        <f>1800/1.21</f>
        <v>1487.6033057851241</v>
      </c>
      <c r="K14" s="98">
        <f t="shared" si="2"/>
        <v>1487.6033057851241</v>
      </c>
      <c r="L14" s="179"/>
      <c r="M14" s="97">
        <f t="shared" si="3"/>
        <v>0</v>
      </c>
      <c r="N14" s="179"/>
      <c r="O14" s="97">
        <f t="shared" si="4"/>
        <v>0</v>
      </c>
      <c r="P14" s="99">
        <f t="shared" si="5"/>
        <v>1194.95</v>
      </c>
      <c r="Q14" s="188">
        <f t="shared" si="6"/>
        <v>1194.95</v>
      </c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</row>
    <row r="15" spans="1:28" ht="14.4" x14ac:dyDescent="0.3">
      <c r="A15" s="207" t="s">
        <v>135</v>
      </c>
      <c r="B15" s="12" t="s">
        <v>7</v>
      </c>
      <c r="C15" s="170">
        <v>1</v>
      </c>
      <c r="D15" s="186">
        <v>489.87</v>
      </c>
      <c r="E15" s="95">
        <f t="shared" si="7"/>
        <v>489.87</v>
      </c>
      <c r="F15" s="187">
        <v>507</v>
      </c>
      <c r="G15" s="97">
        <f t="shared" si="0"/>
        <v>507</v>
      </c>
      <c r="H15" s="187">
        <v>1026</v>
      </c>
      <c r="I15" s="97">
        <f t="shared" si="1"/>
        <v>1026</v>
      </c>
      <c r="J15" s="205">
        <f>800/1.21</f>
        <v>661.15702479338847</v>
      </c>
      <c r="K15" s="98">
        <f t="shared" si="2"/>
        <v>661.15702479338847</v>
      </c>
      <c r="L15" s="179"/>
      <c r="M15" s="97">
        <f t="shared" si="3"/>
        <v>0</v>
      </c>
      <c r="N15" s="179"/>
      <c r="O15" s="97">
        <f t="shared" si="4"/>
        <v>0</v>
      </c>
      <c r="P15" s="99">
        <f t="shared" si="5"/>
        <v>489.87</v>
      </c>
      <c r="Q15" s="188">
        <f t="shared" si="6"/>
        <v>489.87</v>
      </c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</row>
    <row r="16" spans="1:28" ht="14.4" x14ac:dyDescent="0.3">
      <c r="A16" s="207" t="s">
        <v>136</v>
      </c>
      <c r="B16" s="12" t="s">
        <v>7</v>
      </c>
      <c r="C16" s="170">
        <v>1</v>
      </c>
      <c r="D16" s="186">
        <v>657.77</v>
      </c>
      <c r="E16" s="95">
        <f t="shared" si="7"/>
        <v>657.77</v>
      </c>
      <c r="F16" s="187">
        <v>621.57000000000005</v>
      </c>
      <c r="G16" s="97">
        <f t="shared" si="0"/>
        <v>621.57000000000005</v>
      </c>
      <c r="H16" s="187">
        <v>1196</v>
      </c>
      <c r="I16" s="97">
        <f t="shared" si="1"/>
        <v>1196</v>
      </c>
      <c r="J16" s="205">
        <f>1000/1.21</f>
        <v>826.44628099173553</v>
      </c>
      <c r="K16" s="98">
        <f t="shared" si="2"/>
        <v>826.44628099173553</v>
      </c>
      <c r="L16" s="179"/>
      <c r="M16" s="97">
        <f t="shared" si="3"/>
        <v>0</v>
      </c>
      <c r="N16" s="179"/>
      <c r="O16" s="97">
        <f t="shared" si="4"/>
        <v>0</v>
      </c>
      <c r="P16" s="99">
        <f t="shared" si="5"/>
        <v>621.57000000000005</v>
      </c>
      <c r="Q16" s="188">
        <f t="shared" si="6"/>
        <v>621.57000000000005</v>
      </c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</row>
    <row r="17" spans="1:28" ht="14.4" x14ac:dyDescent="0.3">
      <c r="A17" s="207" t="s">
        <v>137</v>
      </c>
      <c r="B17" s="12" t="s">
        <v>7</v>
      </c>
      <c r="C17" s="170">
        <v>2</v>
      </c>
      <c r="D17" s="186">
        <v>420.08</v>
      </c>
      <c r="E17" s="95">
        <f t="shared" si="7"/>
        <v>840.16</v>
      </c>
      <c r="F17" s="187">
        <v>343.34</v>
      </c>
      <c r="G17" s="97">
        <f t="shared" si="0"/>
        <v>686.68</v>
      </c>
      <c r="H17" s="187"/>
      <c r="I17" s="97">
        <f t="shared" si="1"/>
        <v>0</v>
      </c>
      <c r="J17" s="205">
        <f>550/1.21</f>
        <v>454.54545454545456</v>
      </c>
      <c r="K17" s="98">
        <f t="shared" si="2"/>
        <v>909.09090909090912</v>
      </c>
      <c r="L17" s="179"/>
      <c r="M17" s="97">
        <f t="shared" si="3"/>
        <v>0</v>
      </c>
      <c r="N17" s="179"/>
      <c r="O17" s="97">
        <f t="shared" si="4"/>
        <v>0</v>
      </c>
      <c r="P17" s="99">
        <f t="shared" si="5"/>
        <v>343.34</v>
      </c>
      <c r="Q17" s="188">
        <f t="shared" si="6"/>
        <v>686.68</v>
      </c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</row>
    <row r="18" spans="1:28" ht="14.4" x14ac:dyDescent="0.3">
      <c r="A18" s="178" t="s">
        <v>138</v>
      </c>
      <c r="B18" s="12" t="s">
        <v>7</v>
      </c>
      <c r="C18" s="170">
        <v>1</v>
      </c>
      <c r="D18" s="186">
        <v>2183.13</v>
      </c>
      <c r="E18" s="95">
        <f t="shared" si="7"/>
        <v>2183.13</v>
      </c>
      <c r="F18" s="187">
        <v>3319.02</v>
      </c>
      <c r="G18" s="97">
        <f>C18*F18</f>
        <v>3319.02</v>
      </c>
      <c r="H18" s="187"/>
      <c r="I18" s="97">
        <f t="shared" si="1"/>
        <v>0</v>
      </c>
      <c r="J18" s="205">
        <f>8400/1.21</f>
        <v>6942.1487603305786</v>
      </c>
      <c r="K18" s="98">
        <f t="shared" si="2"/>
        <v>6942.1487603305786</v>
      </c>
      <c r="L18" s="179"/>
      <c r="M18" s="97">
        <f t="shared" si="3"/>
        <v>0</v>
      </c>
      <c r="N18" s="179"/>
      <c r="O18" s="97">
        <f t="shared" si="4"/>
        <v>0</v>
      </c>
      <c r="P18" s="99">
        <f t="shared" si="5"/>
        <v>2183.13</v>
      </c>
      <c r="Q18" s="188">
        <f t="shared" si="6"/>
        <v>2183.13</v>
      </c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</row>
    <row r="19" spans="1:28" ht="14.4" x14ac:dyDescent="0.3">
      <c r="A19" s="93" t="s">
        <v>139</v>
      </c>
      <c r="B19" s="12" t="s">
        <v>7</v>
      </c>
      <c r="C19" s="170">
        <v>10</v>
      </c>
      <c r="D19" s="186">
        <v>356.46</v>
      </c>
      <c r="E19" s="95">
        <f t="shared" ref="E19:E32" si="8">D19*C19</f>
        <v>3564.6</v>
      </c>
      <c r="F19" s="187">
        <v>237.34</v>
      </c>
      <c r="G19" s="97">
        <f t="shared" ref="G19:G32" si="9">C19*F19</f>
        <v>2373.4</v>
      </c>
      <c r="H19" s="187"/>
      <c r="I19" s="97">
        <f t="shared" ref="I19:I23" si="10">C19*H19</f>
        <v>0</v>
      </c>
      <c r="J19" s="205">
        <f>430/1.21</f>
        <v>355.37190082644628</v>
      </c>
      <c r="K19" s="98">
        <f t="shared" ref="K19:K32" si="11">C19*J19</f>
        <v>3553.7190082644629</v>
      </c>
      <c r="L19" s="179"/>
      <c r="M19" s="97">
        <f t="shared" ref="M19:M32" si="12">C19*L19</f>
        <v>0</v>
      </c>
      <c r="N19" s="179"/>
      <c r="O19" s="97">
        <f t="shared" ref="O19:O32" si="13">C19*N19</f>
        <v>0</v>
      </c>
      <c r="P19" s="99">
        <f t="shared" ref="P19:P23" si="14">MIN(D19,F19,H19,J19,L19,N19)</f>
        <v>237.34</v>
      </c>
      <c r="Q19" s="188">
        <f t="shared" ref="Q19:Q32" si="15">P19*C19</f>
        <v>2373.4</v>
      </c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</row>
    <row r="20" spans="1:28" ht="14.4" x14ac:dyDescent="0.3">
      <c r="A20" s="101" t="s">
        <v>140</v>
      </c>
      <c r="B20" s="12" t="s">
        <v>7</v>
      </c>
      <c r="C20" s="170">
        <v>1</v>
      </c>
      <c r="D20" s="186">
        <v>7717.96</v>
      </c>
      <c r="E20" s="95">
        <f t="shared" si="8"/>
        <v>7717.96</v>
      </c>
      <c r="F20" s="187">
        <v>3273.02</v>
      </c>
      <c r="G20" s="97">
        <f t="shared" si="9"/>
        <v>3273.02</v>
      </c>
      <c r="H20" s="187"/>
      <c r="I20" s="97">
        <f t="shared" si="10"/>
        <v>0</v>
      </c>
      <c r="J20" s="205">
        <f>10700/1.21</f>
        <v>8842.9752066115707</v>
      </c>
      <c r="K20" s="98">
        <f t="shared" si="11"/>
        <v>8842.9752066115707</v>
      </c>
      <c r="L20" s="179"/>
      <c r="M20" s="97">
        <f t="shared" si="12"/>
        <v>0</v>
      </c>
      <c r="N20" s="179"/>
      <c r="O20" s="97">
        <f t="shared" si="13"/>
        <v>0</v>
      </c>
      <c r="P20" s="99">
        <f t="shared" si="14"/>
        <v>3273.02</v>
      </c>
      <c r="Q20" s="188">
        <f t="shared" si="15"/>
        <v>3273.02</v>
      </c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</row>
    <row r="21" spans="1:28" ht="14.4" x14ac:dyDescent="0.3">
      <c r="A21" s="101" t="s">
        <v>141</v>
      </c>
      <c r="B21" s="12" t="s">
        <v>7</v>
      </c>
      <c r="C21" s="170">
        <v>10</v>
      </c>
      <c r="D21" s="186">
        <v>211.48</v>
      </c>
      <c r="E21" s="95">
        <f t="shared" si="8"/>
        <v>2114.7999999999997</v>
      </c>
      <c r="F21" s="187">
        <v>142.55000000000001</v>
      </c>
      <c r="G21" s="97">
        <f t="shared" si="9"/>
        <v>1425.5</v>
      </c>
      <c r="H21" s="187"/>
      <c r="I21" s="97">
        <f t="shared" si="10"/>
        <v>0</v>
      </c>
      <c r="J21" s="205">
        <f>250/1.21</f>
        <v>206.61157024793388</v>
      </c>
      <c r="K21" s="98">
        <f t="shared" si="11"/>
        <v>2066.1157024793388</v>
      </c>
      <c r="L21" s="179"/>
      <c r="M21" s="97">
        <f t="shared" si="12"/>
        <v>0</v>
      </c>
      <c r="N21" s="179"/>
      <c r="O21" s="97">
        <f t="shared" si="13"/>
        <v>0</v>
      </c>
      <c r="P21" s="99">
        <f t="shared" si="14"/>
        <v>142.55000000000001</v>
      </c>
      <c r="Q21" s="188">
        <f t="shared" si="15"/>
        <v>1425.5</v>
      </c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</row>
    <row r="22" spans="1:28" ht="14.4" x14ac:dyDescent="0.3">
      <c r="A22" s="93" t="s">
        <v>142</v>
      </c>
      <c r="B22" s="12" t="s">
        <v>7</v>
      </c>
      <c r="C22" s="170">
        <v>1</v>
      </c>
      <c r="D22" s="186">
        <v>59647.92</v>
      </c>
      <c r="E22" s="95">
        <f t="shared" si="8"/>
        <v>59647.92</v>
      </c>
      <c r="F22" s="187">
        <v>38369.9</v>
      </c>
      <c r="G22" s="97">
        <f t="shared" si="9"/>
        <v>38369.9</v>
      </c>
      <c r="H22" s="187"/>
      <c r="I22" s="97">
        <f t="shared" si="10"/>
        <v>0</v>
      </c>
      <c r="J22" s="205">
        <f>77000/1.21</f>
        <v>63636.36363636364</v>
      </c>
      <c r="K22" s="98">
        <f t="shared" si="11"/>
        <v>63636.36363636364</v>
      </c>
      <c r="L22" s="179"/>
      <c r="M22" s="97">
        <f t="shared" si="12"/>
        <v>0</v>
      </c>
      <c r="N22" s="179"/>
      <c r="O22" s="97">
        <f t="shared" si="13"/>
        <v>0</v>
      </c>
      <c r="P22" s="99">
        <f t="shared" si="14"/>
        <v>38369.9</v>
      </c>
      <c r="Q22" s="188">
        <f t="shared" si="15"/>
        <v>38369.9</v>
      </c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</row>
    <row r="23" spans="1:28" ht="14.4" x14ac:dyDescent="0.3">
      <c r="A23" s="93" t="s">
        <v>143</v>
      </c>
      <c r="B23" s="12" t="s">
        <v>7</v>
      </c>
      <c r="C23" s="170">
        <v>2</v>
      </c>
      <c r="D23" s="186">
        <v>1056.1099999999999</v>
      </c>
      <c r="E23" s="95">
        <f t="shared" si="8"/>
        <v>2112.2199999999998</v>
      </c>
      <c r="F23" s="187">
        <v>877.64</v>
      </c>
      <c r="G23" s="97">
        <f t="shared" si="9"/>
        <v>1755.28</v>
      </c>
      <c r="H23" s="187"/>
      <c r="I23" s="97">
        <f t="shared" si="10"/>
        <v>0</v>
      </c>
      <c r="J23" s="205">
        <f>1700/1.21</f>
        <v>1404.9586776859505</v>
      </c>
      <c r="K23" s="98">
        <f t="shared" si="11"/>
        <v>2809.9173553719011</v>
      </c>
      <c r="L23" s="179"/>
      <c r="M23" s="97">
        <f t="shared" si="12"/>
        <v>0</v>
      </c>
      <c r="N23" s="179"/>
      <c r="O23" s="97">
        <f t="shared" si="13"/>
        <v>0</v>
      </c>
      <c r="P23" s="99">
        <f t="shared" si="14"/>
        <v>877.64</v>
      </c>
      <c r="Q23" s="188">
        <f t="shared" si="15"/>
        <v>1755.28</v>
      </c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</row>
    <row r="24" spans="1:28" ht="14.4" x14ac:dyDescent="0.3">
      <c r="A24" s="93" t="s">
        <v>144</v>
      </c>
      <c r="B24" s="12" t="s">
        <v>7</v>
      </c>
      <c r="C24" s="170">
        <v>2</v>
      </c>
      <c r="D24" s="186">
        <v>1666.46</v>
      </c>
      <c r="E24" s="95">
        <f t="shared" si="8"/>
        <v>3332.92</v>
      </c>
      <c r="F24" s="187">
        <v>1121.2</v>
      </c>
      <c r="G24" s="97">
        <f t="shared" si="9"/>
        <v>2242.4</v>
      </c>
      <c r="H24" s="187"/>
      <c r="I24" s="97">
        <f>C23*H23</f>
        <v>0</v>
      </c>
      <c r="J24" s="205">
        <f>2200/1.21</f>
        <v>1818.1818181818182</v>
      </c>
      <c r="K24" s="98">
        <f t="shared" si="11"/>
        <v>3636.3636363636365</v>
      </c>
      <c r="L24" s="179"/>
      <c r="M24" s="97">
        <f t="shared" si="12"/>
        <v>0</v>
      </c>
      <c r="N24" s="179"/>
      <c r="O24" s="97">
        <f t="shared" si="13"/>
        <v>0</v>
      </c>
      <c r="P24" s="99">
        <f>MIN(D24,F24,J24,L24,N24)</f>
        <v>1121.2</v>
      </c>
      <c r="Q24" s="188">
        <f t="shared" si="15"/>
        <v>2242.4</v>
      </c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</row>
    <row r="25" spans="1:28" ht="14.4" x14ac:dyDescent="0.3">
      <c r="A25" s="169" t="s">
        <v>145</v>
      </c>
      <c r="B25" s="12" t="s">
        <v>7</v>
      </c>
      <c r="C25" s="170">
        <v>4</v>
      </c>
      <c r="D25" s="186">
        <v>249.53</v>
      </c>
      <c r="E25" s="95">
        <f t="shared" si="8"/>
        <v>998.12</v>
      </c>
      <c r="F25" s="187">
        <v>237</v>
      </c>
      <c r="G25" s="97">
        <f t="shared" si="9"/>
        <v>948</v>
      </c>
      <c r="H25" s="187"/>
      <c r="I25" s="97">
        <f t="shared" ref="I25:I31" si="16">C24*H24</f>
        <v>0</v>
      </c>
      <c r="J25" s="205">
        <f>400/1.21</f>
        <v>330.57851239669424</v>
      </c>
      <c r="K25" s="98">
        <f t="shared" si="11"/>
        <v>1322.3140495867769</v>
      </c>
      <c r="L25" s="179"/>
      <c r="M25" s="97">
        <f t="shared" si="12"/>
        <v>0</v>
      </c>
      <c r="N25" s="179"/>
      <c r="O25" s="97">
        <f t="shared" si="13"/>
        <v>0</v>
      </c>
      <c r="P25" s="99">
        <f t="shared" ref="P25:P31" si="17">MIN(D25,F25,J25,L25,N25)</f>
        <v>237</v>
      </c>
      <c r="Q25" s="188">
        <f t="shared" si="15"/>
        <v>948</v>
      </c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</row>
    <row r="26" spans="1:28" ht="14.4" x14ac:dyDescent="0.3">
      <c r="A26" s="169" t="s">
        <v>146</v>
      </c>
      <c r="B26" s="12" t="s">
        <v>7</v>
      </c>
      <c r="C26" s="170">
        <v>1</v>
      </c>
      <c r="D26" s="186">
        <v>1545.91</v>
      </c>
      <c r="E26" s="95">
        <f t="shared" si="8"/>
        <v>1545.91</v>
      </c>
      <c r="F26" s="187">
        <v>1187.24</v>
      </c>
      <c r="G26" s="97">
        <f t="shared" si="9"/>
        <v>1187.24</v>
      </c>
      <c r="H26" s="187"/>
      <c r="I26" s="97">
        <f t="shared" si="16"/>
        <v>0</v>
      </c>
      <c r="J26" s="205">
        <f>330/1.21</f>
        <v>272.72727272727275</v>
      </c>
      <c r="K26" s="98">
        <f t="shared" si="11"/>
        <v>272.72727272727275</v>
      </c>
      <c r="L26" s="179"/>
      <c r="M26" s="97">
        <f t="shared" si="12"/>
        <v>0</v>
      </c>
      <c r="N26" s="179"/>
      <c r="O26" s="97">
        <f t="shared" si="13"/>
        <v>0</v>
      </c>
      <c r="P26" s="99">
        <f t="shared" si="17"/>
        <v>272.72727272727275</v>
      </c>
      <c r="Q26" s="188">
        <f t="shared" si="15"/>
        <v>272.72727272727275</v>
      </c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</row>
    <row r="27" spans="1:28" ht="14.4" x14ac:dyDescent="0.3">
      <c r="A27" s="169" t="s">
        <v>147</v>
      </c>
      <c r="B27" s="12" t="s">
        <v>7</v>
      </c>
      <c r="C27" s="170">
        <v>2</v>
      </c>
      <c r="D27" s="186">
        <v>270.18</v>
      </c>
      <c r="E27" s="95">
        <f t="shared" si="8"/>
        <v>540.36</v>
      </c>
      <c r="F27" s="187">
        <v>182.24</v>
      </c>
      <c r="G27" s="97">
        <f t="shared" si="9"/>
        <v>364.48</v>
      </c>
      <c r="H27" s="187"/>
      <c r="I27" s="97">
        <f t="shared" si="16"/>
        <v>0</v>
      </c>
      <c r="J27" s="205">
        <f>330/1.21</f>
        <v>272.72727272727275</v>
      </c>
      <c r="K27" s="98">
        <f t="shared" si="11"/>
        <v>545.4545454545455</v>
      </c>
      <c r="L27" s="179"/>
      <c r="M27" s="97">
        <f t="shared" si="12"/>
        <v>0</v>
      </c>
      <c r="N27" s="179"/>
      <c r="O27" s="97">
        <f t="shared" si="13"/>
        <v>0</v>
      </c>
      <c r="P27" s="99">
        <f t="shared" si="17"/>
        <v>182.24</v>
      </c>
      <c r="Q27" s="188">
        <f t="shared" si="15"/>
        <v>364.48</v>
      </c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spans="1:28" ht="14.4" x14ac:dyDescent="0.3">
      <c r="A28" s="169" t="s">
        <v>149</v>
      </c>
      <c r="B28" s="12" t="s">
        <v>7</v>
      </c>
      <c r="C28" s="170">
        <v>7</v>
      </c>
      <c r="D28" s="186">
        <v>9113.31</v>
      </c>
      <c r="E28" s="95">
        <f t="shared" si="8"/>
        <v>63793.17</v>
      </c>
      <c r="F28" s="187">
        <v>3693.44</v>
      </c>
      <c r="G28" s="97">
        <f t="shared" si="9"/>
        <v>25854.080000000002</v>
      </c>
      <c r="H28" s="187">
        <v>10016.200000000001</v>
      </c>
      <c r="I28" s="97">
        <f t="shared" si="16"/>
        <v>0</v>
      </c>
      <c r="J28" s="205">
        <f>2380/1.21</f>
        <v>1966.9421487603306</v>
      </c>
      <c r="K28" s="98">
        <f t="shared" si="11"/>
        <v>13768.595041322315</v>
      </c>
      <c r="L28" s="179"/>
      <c r="M28" s="97">
        <f t="shared" si="12"/>
        <v>0</v>
      </c>
      <c r="N28" s="179"/>
      <c r="O28" s="97">
        <f t="shared" si="13"/>
        <v>0</v>
      </c>
      <c r="P28" s="99">
        <f t="shared" si="17"/>
        <v>1966.9421487603306</v>
      </c>
      <c r="Q28" s="188">
        <f t="shared" si="15"/>
        <v>13768.595041322315</v>
      </c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</row>
    <row r="29" spans="1:28" ht="14.4" x14ac:dyDescent="0.3">
      <c r="A29" s="169" t="s">
        <v>148</v>
      </c>
      <c r="B29" s="12" t="s">
        <v>7</v>
      </c>
      <c r="C29" s="170">
        <v>1</v>
      </c>
      <c r="D29" s="186">
        <v>2149.9699999999998</v>
      </c>
      <c r="E29" s="95">
        <f t="shared" si="8"/>
        <v>2149.9699999999998</v>
      </c>
      <c r="F29" s="187">
        <v>1182.3</v>
      </c>
      <c r="G29" s="97">
        <f t="shared" si="9"/>
        <v>1182.3</v>
      </c>
      <c r="H29" s="187"/>
      <c r="I29" s="97">
        <f t="shared" si="16"/>
        <v>70113.400000000009</v>
      </c>
      <c r="J29" s="205">
        <f>1700/1.21</f>
        <v>1404.9586776859505</v>
      </c>
      <c r="K29" s="98">
        <f t="shared" si="11"/>
        <v>1404.9586776859505</v>
      </c>
      <c r="L29" s="179"/>
      <c r="M29" s="97">
        <f t="shared" si="12"/>
        <v>0</v>
      </c>
      <c r="N29" s="179"/>
      <c r="O29" s="97">
        <f t="shared" si="13"/>
        <v>0</v>
      </c>
      <c r="P29" s="99">
        <f t="shared" si="17"/>
        <v>1182.3</v>
      </c>
      <c r="Q29" s="188">
        <f t="shared" si="15"/>
        <v>1182.3</v>
      </c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</row>
    <row r="30" spans="1:28" ht="14.4" x14ac:dyDescent="0.3">
      <c r="A30" s="169"/>
      <c r="B30" s="12" t="s">
        <v>7</v>
      </c>
      <c r="C30" s="170"/>
      <c r="D30" s="186"/>
      <c r="E30" s="95">
        <f t="shared" si="8"/>
        <v>0</v>
      </c>
      <c r="F30" s="187"/>
      <c r="G30" s="97">
        <f t="shared" si="9"/>
        <v>0</v>
      </c>
      <c r="H30" s="187"/>
      <c r="I30" s="97">
        <f t="shared" si="16"/>
        <v>0</v>
      </c>
      <c r="J30" s="205"/>
      <c r="K30" s="98">
        <f t="shared" si="11"/>
        <v>0</v>
      </c>
      <c r="L30" s="179"/>
      <c r="M30" s="97">
        <f t="shared" si="12"/>
        <v>0</v>
      </c>
      <c r="N30" s="179"/>
      <c r="O30" s="97">
        <f t="shared" si="13"/>
        <v>0</v>
      </c>
      <c r="P30" s="99">
        <f t="shared" si="17"/>
        <v>0</v>
      </c>
      <c r="Q30" s="188">
        <f t="shared" si="15"/>
        <v>0</v>
      </c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</row>
    <row r="31" spans="1:28" ht="14.4" x14ac:dyDescent="0.3">
      <c r="A31" s="169"/>
      <c r="B31" s="12" t="s">
        <v>7</v>
      </c>
      <c r="C31" s="170"/>
      <c r="D31" s="186"/>
      <c r="E31" s="95">
        <f t="shared" si="8"/>
        <v>0</v>
      </c>
      <c r="F31" s="187"/>
      <c r="G31" s="97">
        <f t="shared" si="9"/>
        <v>0</v>
      </c>
      <c r="H31" s="187"/>
      <c r="I31" s="97">
        <f t="shared" si="16"/>
        <v>0</v>
      </c>
      <c r="J31" s="205"/>
      <c r="K31" s="98">
        <f t="shared" si="11"/>
        <v>0</v>
      </c>
      <c r="L31" s="179"/>
      <c r="M31" s="97">
        <f t="shared" si="12"/>
        <v>0</v>
      </c>
      <c r="N31" s="179"/>
      <c r="O31" s="97">
        <f t="shared" si="13"/>
        <v>0</v>
      </c>
      <c r="P31" s="99">
        <f t="shared" si="17"/>
        <v>0</v>
      </c>
      <c r="Q31" s="188">
        <f t="shared" si="15"/>
        <v>0</v>
      </c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</row>
    <row r="32" spans="1:28" thickBot="1" x14ac:dyDescent="0.35">
      <c r="A32" s="208"/>
      <c r="B32" s="209" t="s">
        <v>7</v>
      </c>
      <c r="C32" s="210"/>
      <c r="D32" s="211"/>
      <c r="E32" s="212">
        <f t="shared" si="8"/>
        <v>0</v>
      </c>
      <c r="F32" s="213"/>
      <c r="G32" s="214">
        <f t="shared" si="9"/>
        <v>0</v>
      </c>
      <c r="H32" s="213"/>
      <c r="I32" s="214">
        <f>C24*H24</f>
        <v>0</v>
      </c>
      <c r="J32" s="215"/>
      <c r="K32" s="216">
        <f t="shared" si="11"/>
        <v>0</v>
      </c>
      <c r="L32" s="217"/>
      <c r="M32" s="214">
        <f t="shared" si="12"/>
        <v>0</v>
      </c>
      <c r="N32" s="217"/>
      <c r="O32" s="214">
        <f t="shared" si="13"/>
        <v>0</v>
      </c>
      <c r="P32" s="218">
        <f>MIN(D32,F32,J32,L32,N32)</f>
        <v>0</v>
      </c>
      <c r="Q32" s="219">
        <f t="shared" si="15"/>
        <v>0</v>
      </c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5.6" thickBot="1" x14ac:dyDescent="0.35">
      <c r="A33" s="272" t="s">
        <v>66</v>
      </c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</row>
    <row r="34" spans="1:28" thickBot="1" x14ac:dyDescent="0.35">
      <c r="A34" s="32" t="s">
        <v>17</v>
      </c>
      <c r="B34" s="274"/>
      <c r="C34" s="275"/>
      <c r="D34" s="118"/>
      <c r="E34" s="119">
        <f>+SUM(E12:E32)</f>
        <v>158427.17000000001</v>
      </c>
      <c r="F34" s="33"/>
      <c r="G34" s="120">
        <f>+SUM(G12:G32)</f>
        <v>90249.12000000001</v>
      </c>
      <c r="H34" s="161"/>
      <c r="I34" s="120">
        <f>+SUM(I12:O32)</f>
        <v>288029.61487603304</v>
      </c>
      <c r="J34" s="33"/>
      <c r="K34" s="120">
        <f>+SUM(K12:K33)</f>
        <v>119157.02479338844</v>
      </c>
      <c r="L34" s="33"/>
      <c r="M34" s="120">
        <f>+SUM(M19:M32)</f>
        <v>0</v>
      </c>
      <c r="N34" s="33"/>
      <c r="O34" s="120">
        <f>+SUM(O19:O33)</f>
        <v>0</v>
      </c>
      <c r="P34" s="36"/>
      <c r="Q34" s="120">
        <f>+SUM(Q12:Q33)</f>
        <v>76096.102314049596</v>
      </c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</row>
    <row r="35" spans="1:28" ht="15.75" customHeight="1" thickBot="1" x14ac:dyDescent="0.35">
      <c r="A35" s="37"/>
      <c r="B35" s="38"/>
      <c r="C35" s="38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1:28" ht="15.75" customHeight="1" x14ac:dyDescent="0.3">
      <c r="A36" s="40" t="s">
        <v>18</v>
      </c>
      <c r="B36" s="276"/>
      <c r="C36" s="271"/>
      <c r="D36" s="122">
        <v>0</v>
      </c>
      <c r="E36" s="123">
        <f>+E34*D36</f>
        <v>0</v>
      </c>
      <c r="F36" s="41">
        <v>0</v>
      </c>
      <c r="G36" s="124">
        <f>+G34*F36</f>
        <v>0</v>
      </c>
      <c r="H36" s="162"/>
      <c r="I36" s="124">
        <f>+I34*H36</f>
        <v>0</v>
      </c>
      <c r="J36" s="41">
        <v>0</v>
      </c>
      <c r="K36" s="124">
        <f>+K34*J36</f>
        <v>0</v>
      </c>
      <c r="L36" s="41">
        <v>0</v>
      </c>
      <c r="M36" s="124">
        <f>+M34*L36</f>
        <v>0</v>
      </c>
      <c r="N36" s="41">
        <v>0</v>
      </c>
      <c r="O36" s="124">
        <f>+O34*N36</f>
        <v>0</v>
      </c>
      <c r="P36" s="125"/>
      <c r="Q36" s="124">
        <f>+Q34*P36</f>
        <v>0</v>
      </c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</row>
    <row r="37" spans="1:28" ht="15.75" customHeight="1" x14ac:dyDescent="0.3">
      <c r="A37" s="45" t="s">
        <v>19</v>
      </c>
      <c r="B37" s="277">
        <v>1</v>
      </c>
      <c r="C37" s="278"/>
      <c r="D37" s="126"/>
      <c r="E37" s="127"/>
      <c r="F37" s="126"/>
      <c r="G37" s="128"/>
      <c r="H37" s="163"/>
      <c r="I37" s="128"/>
      <c r="J37" s="126"/>
      <c r="K37" s="128"/>
      <c r="L37" s="126"/>
      <c r="M37" s="128"/>
      <c r="N37" s="126"/>
      <c r="O37" s="128"/>
      <c r="P37" s="129"/>
      <c r="Q37" s="128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</row>
    <row r="38" spans="1:28" ht="15.75" customHeight="1" x14ac:dyDescent="0.3">
      <c r="A38" s="45" t="s">
        <v>20</v>
      </c>
      <c r="B38" s="277"/>
      <c r="C38" s="278"/>
      <c r="D38" s="126"/>
      <c r="E38" s="127">
        <f>+E34-E36</f>
        <v>158427.17000000001</v>
      </c>
      <c r="F38" s="126"/>
      <c r="G38" s="128">
        <f>+G34-G36</f>
        <v>90249.12000000001</v>
      </c>
      <c r="H38" s="163"/>
      <c r="I38" s="128">
        <f>+I34-I36</f>
        <v>288029.61487603304</v>
      </c>
      <c r="J38" s="126"/>
      <c r="K38" s="128">
        <f>+K34-K36</f>
        <v>119157.02479338844</v>
      </c>
      <c r="L38" s="126"/>
      <c r="M38" s="128">
        <f>+M34-M36</f>
        <v>0</v>
      </c>
      <c r="N38" s="126"/>
      <c r="O38" s="128">
        <f>+O34-O36</f>
        <v>0</v>
      </c>
      <c r="P38" s="129"/>
      <c r="Q38" s="128">
        <f>+Q34-Q36</f>
        <v>76096.102314049596</v>
      </c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</row>
    <row r="39" spans="1:28" ht="15.75" customHeight="1" x14ac:dyDescent="0.3">
      <c r="A39" s="45" t="s">
        <v>21</v>
      </c>
      <c r="B39" s="279">
        <v>0.21</v>
      </c>
      <c r="C39" s="278"/>
      <c r="D39" s="126"/>
      <c r="E39" s="127">
        <f>(+E38)*B39</f>
        <v>33269.705699999999</v>
      </c>
      <c r="F39" s="126"/>
      <c r="G39" s="128">
        <f>(+G38)*B39</f>
        <v>18952.315200000001</v>
      </c>
      <c r="H39" s="163"/>
      <c r="I39" s="128">
        <f>(+I38)*D39</f>
        <v>0</v>
      </c>
      <c r="J39" s="126"/>
      <c r="K39" s="128">
        <f>(+K38)*B39</f>
        <v>25022.975206611573</v>
      </c>
      <c r="L39" s="126"/>
      <c r="M39" s="128">
        <f>(+M38)*B39</f>
        <v>0</v>
      </c>
      <c r="N39" s="126"/>
      <c r="O39" s="128">
        <f>(+O38)*B39</f>
        <v>0</v>
      </c>
      <c r="P39" s="129"/>
      <c r="Q39" s="128">
        <f>Q38*B39</f>
        <v>15980.181485950414</v>
      </c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</row>
    <row r="40" spans="1:28" ht="15.75" customHeight="1" x14ac:dyDescent="0.3">
      <c r="A40" s="50" t="s">
        <v>22</v>
      </c>
      <c r="B40" s="51"/>
      <c r="C40" s="52"/>
      <c r="D40" s="130"/>
      <c r="E40" s="131">
        <v>2534.83</v>
      </c>
      <c r="F40" s="130"/>
      <c r="G40" s="132">
        <v>1444</v>
      </c>
      <c r="H40" s="164"/>
      <c r="I40" s="132"/>
      <c r="J40" s="130"/>
      <c r="K40" s="132"/>
      <c r="L40" s="130"/>
      <c r="M40" s="132"/>
      <c r="N40" s="130"/>
      <c r="O40" s="132"/>
      <c r="P40" s="133"/>
      <c r="Q40" s="132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</row>
    <row r="41" spans="1:28" ht="15.75" customHeight="1" thickBot="1" x14ac:dyDescent="0.35">
      <c r="A41" s="57" t="s">
        <v>45</v>
      </c>
      <c r="B41" s="58"/>
      <c r="C41" s="59"/>
      <c r="D41" s="134"/>
      <c r="E41" s="135"/>
      <c r="F41" s="134"/>
      <c r="G41" s="136"/>
      <c r="H41" s="165"/>
      <c r="I41" s="136"/>
      <c r="J41" s="134"/>
      <c r="K41" s="136"/>
      <c r="L41" s="134"/>
      <c r="M41" s="136"/>
      <c r="N41" s="134"/>
      <c r="O41" s="136"/>
      <c r="P41" s="137"/>
      <c r="Q41" s="136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</row>
    <row r="42" spans="1:28" ht="15.75" customHeight="1" thickBot="1" x14ac:dyDescent="0.35">
      <c r="A42" s="37"/>
      <c r="B42" s="38"/>
      <c r="C42" s="38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</row>
    <row r="43" spans="1:28" ht="15.75" customHeight="1" thickBot="1" x14ac:dyDescent="0.35">
      <c r="A43" s="189" t="s">
        <v>23</v>
      </c>
      <c r="B43" s="190"/>
      <c r="C43" s="191"/>
      <c r="D43" s="192"/>
      <c r="E43" s="193">
        <f>+E38+E39+E41+E40</f>
        <v>194231.70569999999</v>
      </c>
      <c r="F43" s="194"/>
      <c r="G43" s="193">
        <f>+G38+G39+G41+G40</f>
        <v>110645.43520000001</v>
      </c>
      <c r="H43" s="195"/>
      <c r="I43" s="193">
        <f>+I38+I39+I41+I40</f>
        <v>288029.61487603304</v>
      </c>
      <c r="J43" s="194"/>
      <c r="K43" s="193">
        <f>+K38+K39+K41+K40</f>
        <v>144180</v>
      </c>
      <c r="L43" s="194"/>
      <c r="M43" s="193">
        <f>+M38+M39+M41+M40</f>
        <v>0</v>
      </c>
      <c r="N43" s="192"/>
      <c r="O43" s="196">
        <f>+O38+O39+O41+O40</f>
        <v>0</v>
      </c>
      <c r="P43" s="192"/>
      <c r="Q43" s="193">
        <f>SUM(Q38:Q41)</f>
        <v>92076.283800000005</v>
      </c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</row>
    <row r="44" spans="1:28" ht="15.75" customHeight="1" thickBot="1" x14ac:dyDescent="0.35">
      <c r="A44" s="73" t="s">
        <v>24</v>
      </c>
      <c r="B44" s="280"/>
      <c r="C44" s="269"/>
      <c r="D44" s="266"/>
      <c r="E44" s="269"/>
      <c r="F44" s="266"/>
      <c r="G44" s="269"/>
      <c r="H44" s="167"/>
      <c r="I44" s="167"/>
      <c r="J44" s="266"/>
      <c r="K44" s="269"/>
      <c r="L44" s="289"/>
      <c r="M44" s="269"/>
      <c r="N44" s="289"/>
      <c r="O44" s="269"/>
      <c r="P44" s="308"/>
      <c r="Q44" s="269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</row>
    <row r="45" spans="1:28" ht="15.75" customHeight="1" x14ac:dyDescent="0.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spans="1:28" ht="15.75" customHeight="1" x14ac:dyDescent="0.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</row>
    <row r="47" spans="1:28" ht="15.75" customHeight="1" x14ac:dyDescent="0.3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</row>
    <row r="48" spans="1:28" ht="15.75" customHeight="1" x14ac:dyDescent="0.3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</row>
    <row r="49" spans="1:28" ht="15.75" customHeight="1" x14ac:dyDescent="0.3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</row>
    <row r="50" spans="1:28" ht="15.75" customHeight="1" x14ac:dyDescent="0.3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</row>
    <row r="51" spans="1:28" ht="15.75" customHeight="1" x14ac:dyDescent="0.3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</row>
    <row r="52" spans="1:28" ht="15.75" customHeight="1" x14ac:dyDescent="0.3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</row>
    <row r="53" spans="1:28" ht="15.75" customHeight="1" x14ac:dyDescent="0.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</row>
    <row r="54" spans="1:28" ht="15.75" customHeight="1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</row>
    <row r="55" spans="1:28" ht="15.75" customHeight="1" x14ac:dyDescent="0.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spans="1:28" ht="15.75" customHeight="1" x14ac:dyDescent="0.3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</row>
    <row r="57" spans="1:28" ht="15.75" customHeight="1" x14ac:dyDescent="0.3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 spans="1:28" ht="15.75" customHeight="1" x14ac:dyDescent="0.3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 spans="1:28" ht="15.75" customHeight="1" x14ac:dyDescent="0.3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</row>
    <row r="60" spans="1:28" ht="15.75" customHeight="1" x14ac:dyDescent="0.3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 spans="1:28" ht="15.75" customHeight="1" x14ac:dyDescent="0.3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</row>
    <row r="62" spans="1:28" ht="15.75" customHeigh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</row>
    <row r="63" spans="1:28" ht="15.75" customHeigh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 spans="1:28" ht="15.75" customHeight="1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 spans="1:28" ht="15.75" customHeigh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 spans="1:28" ht="15.75" customHeight="1" x14ac:dyDescent="0.3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 spans="1:28" ht="15.75" customHeigh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 spans="1:28" ht="15.75" customHeight="1" x14ac:dyDescent="0.3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 spans="1:28" ht="15.75" customHeight="1" x14ac:dyDescent="0.3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 spans="1:28" ht="15.75" customHeight="1" x14ac:dyDescent="0.3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</row>
    <row r="71" spans="1:28" ht="15.75" customHeight="1" x14ac:dyDescent="0.3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 spans="1:28" ht="15.75" customHeight="1" x14ac:dyDescent="0.3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</row>
    <row r="73" spans="1:28" ht="15.75" customHeight="1" x14ac:dyDescent="0.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 spans="1:28" ht="15.75" customHeight="1" x14ac:dyDescent="0.3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 spans="1:28" ht="15.75" customHeight="1" x14ac:dyDescent="0.3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 spans="1:28" ht="15.75" customHeight="1" x14ac:dyDescent="0.3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 spans="1:28" ht="15.75" customHeight="1" x14ac:dyDescent="0.3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 spans="1:28" ht="15.75" customHeight="1" x14ac:dyDescent="0.3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 spans="1:28" ht="15.75" customHeight="1" x14ac:dyDescent="0.3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</row>
    <row r="80" spans="1:28" ht="15.75" customHeight="1" x14ac:dyDescent="0.3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 spans="1:28" ht="15.75" customHeight="1" x14ac:dyDescent="0.3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</row>
    <row r="82" spans="1:28" ht="15.75" customHeight="1" x14ac:dyDescent="0.3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 spans="1:28" ht="15.75" customHeight="1" x14ac:dyDescent="0.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 spans="1:28" ht="15.75" customHeight="1" x14ac:dyDescent="0.3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 spans="1:28" ht="15.75" customHeight="1" x14ac:dyDescent="0.3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</row>
    <row r="86" spans="1:28" ht="15.75" customHeight="1" x14ac:dyDescent="0.3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spans="1:28" ht="15.75" customHeight="1" x14ac:dyDescent="0.3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 spans="1:28" ht="15.75" customHeight="1" x14ac:dyDescent="0.3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</row>
    <row r="89" spans="1:28" ht="15.75" customHeight="1" x14ac:dyDescent="0.3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 spans="1:28" ht="15.75" customHeight="1" x14ac:dyDescent="0.3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</row>
    <row r="91" spans="1:28" ht="15.75" customHeight="1" x14ac:dyDescent="0.3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 spans="1:28" ht="15.75" customHeight="1" x14ac:dyDescent="0.3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5.75" customHeight="1" x14ac:dyDescent="0.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</row>
    <row r="94" spans="1:28" ht="15.75" customHeight="1" x14ac:dyDescent="0.3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 spans="1:28" ht="15.75" customHeight="1" x14ac:dyDescent="0.3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 spans="1:28" ht="15.75" customHeight="1" x14ac:dyDescent="0.3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 spans="1:28" ht="15.75" customHeight="1" x14ac:dyDescent="0.3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1:28" ht="15.75" customHeight="1" x14ac:dyDescent="0.3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</row>
    <row r="99" spans="1:28" ht="15.75" customHeight="1" x14ac:dyDescent="0.3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 spans="1:28" ht="15.75" customHeight="1" x14ac:dyDescent="0.3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</row>
    <row r="101" spans="1:28" ht="15.75" customHeight="1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 spans="1:28" ht="15.75" customHeight="1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 spans="1:28" ht="15.75" customHeight="1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 spans="1:28" ht="15.75" customHeight="1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 spans="1:28" ht="15.75" customHeight="1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 spans="1:28" ht="15.75" customHeight="1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 spans="1:28" ht="15.75" customHeight="1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spans="1:28" ht="15.75" customHeight="1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 spans="1:28" ht="15.75" customHeight="1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</row>
    <row r="110" spans="1:28" ht="15.75" customHeight="1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 spans="1:28" ht="15.75" customHeight="1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 spans="1:28" ht="15.75" customHeight="1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</row>
    <row r="113" spans="1:28" ht="15.75" customHeight="1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 spans="1:28" ht="15.75" customHeight="1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 spans="1:28" ht="15.75" customHeight="1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 spans="1:28" ht="15.75" customHeight="1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</row>
    <row r="117" spans="1:28" ht="15.75" customHeight="1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 spans="1:28" ht="15.75" customHeight="1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 spans="1:28" ht="15.75" customHeight="1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</row>
    <row r="120" spans="1:28" ht="15.75" customHeight="1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 spans="1:28" ht="15.75" customHeight="1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 spans="1:28" ht="15.75" customHeight="1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 spans="1:28" ht="15.75" customHeight="1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 spans="1:28" ht="15.75" customHeight="1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</row>
    <row r="125" spans="1:28" ht="15.75" customHeight="1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 spans="1:28" ht="15.75" customHeight="1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 spans="1:28" ht="15.75" customHeight="1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 spans="1:28" ht="15.75" customHeight="1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spans="1:28" ht="15.75" customHeight="1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 spans="1:28" ht="15.75" customHeight="1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 spans="1:28" ht="15.75" customHeight="1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</row>
    <row r="132" spans="1:28" ht="15.75" customHeight="1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 spans="1:28" ht="15.75" customHeight="1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 spans="1:28" ht="15.75" customHeight="1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</row>
    <row r="135" spans="1:28" ht="15.75" customHeight="1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 spans="1:28" ht="15.75" customHeight="1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 spans="1:28" ht="15.75" customHeight="1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 spans="1:28" ht="15.75" customHeight="1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spans="1:28" ht="15.75" customHeight="1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</row>
    <row r="140" spans="1:28" ht="15.75" customHeight="1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 spans="1:28" ht="15.75" customHeight="1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 spans="1:28" ht="15.75" customHeight="1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</row>
    <row r="143" spans="1:28" ht="15.75" customHeight="1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 spans="1:28" ht="15.75" customHeight="1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 spans="1:28" ht="15.75" customHeight="1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 spans="1:28" ht="15.75" customHeight="1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</row>
    <row r="147" spans="1:28" ht="15.75" customHeight="1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 spans="1:28" ht="15.75" customHeight="1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spans="1:28" ht="15.75" customHeight="1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 spans="1:28" ht="15.75" customHeight="1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 spans="1:28" ht="15.75" customHeight="1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 spans="1:28" ht="15.75" customHeight="1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5.75" customHeight="1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 spans="1:28" ht="15.75" customHeight="1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 spans="1:28" ht="15.75" customHeight="1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 spans="1:28" ht="15.75" customHeight="1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 spans="1:28" ht="15.75" customHeight="1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 spans="1:28" ht="15.75" customHeight="1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 spans="1:28" ht="15.75" customHeight="1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 spans="1:28" ht="15.75" customHeight="1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 spans="1:28" ht="15.75" customHeight="1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 spans="1:28" ht="15.75" customHeight="1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</row>
    <row r="163" spans="1:28" ht="15.75" customHeight="1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 spans="1:28" ht="15.75" customHeight="1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 spans="1:28" ht="15.75" customHeight="1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 spans="1:28" ht="15.75" customHeight="1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 spans="1:28" ht="15.75" customHeight="1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 spans="1:28" ht="15.75" customHeight="1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 spans="1:28" ht="15.75" customHeight="1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spans="1:28" ht="15.75" customHeight="1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 spans="1:28" ht="15.75" customHeight="1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 spans="1:28" ht="15.75" customHeight="1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 spans="1:28" ht="15.75" customHeight="1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 spans="1:28" ht="15.75" customHeight="1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 spans="1:28" ht="15.75" customHeight="1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 spans="1:28" ht="15.75" customHeight="1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 spans="1:28" ht="15.75" customHeight="1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 spans="1:28" ht="15.75" customHeight="1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 spans="1:28" ht="15.75" customHeight="1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spans="1:28" ht="15.75" customHeight="1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 spans="1:28" ht="15.75" customHeight="1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 spans="1:28" ht="15.75" customHeight="1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 spans="1:28" ht="15.75" customHeight="1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 spans="1:28" ht="15.75" customHeight="1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 spans="1:28" ht="15.75" customHeight="1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</row>
    <row r="186" spans="1:28" ht="15.75" customHeight="1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 spans="1:28" ht="15.75" customHeight="1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 spans="1:28" ht="15.75" customHeight="1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 spans="1:28" ht="15.75" customHeight="1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 spans="1:28" ht="15.75" customHeight="1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spans="1:28" ht="15.75" customHeight="1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 spans="1:28" ht="15.75" customHeight="1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 spans="1:28" ht="15.75" customHeight="1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 spans="1:28" ht="15.75" customHeight="1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 spans="1:28" ht="15.75" customHeight="1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 spans="1:28" ht="15.75" customHeight="1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 spans="1:28" ht="15.75" customHeight="1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 spans="1:28" ht="15.75" customHeight="1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 spans="1:28" ht="15.75" customHeight="1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 spans="1:28" ht="15.75" customHeight="1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spans="1:28" ht="15.75" customHeight="1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 spans="1:28" ht="15.75" customHeight="1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 spans="1:28" ht="15.75" customHeight="1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 spans="1:28" ht="15.75" customHeight="1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 spans="1:28" ht="15.75" customHeight="1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 spans="1:28" ht="15.75" customHeight="1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 spans="1:28" ht="15.75" customHeight="1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 spans="1:28" ht="15.75" customHeight="1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</row>
    <row r="209" spans="1:28" ht="15.75" customHeight="1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 spans="1:28" ht="15.75" customHeight="1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spans="1:28" ht="15.75" customHeight="1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 spans="1:28" ht="15.75" customHeight="1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5.75" customHeight="1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 spans="1:28" ht="15.75" customHeight="1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 spans="1:28" ht="15.75" customHeight="1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 spans="1:28" ht="15.75" customHeight="1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 spans="1:28" ht="15.75" customHeight="1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 spans="1:28" ht="15.75" customHeight="1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 spans="1:28" ht="15.75" customHeight="1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 spans="1:28" ht="15.75" customHeight="1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 spans="1:28" ht="15.75" customHeight="1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1:28" ht="15.75" customHeight="1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 spans="1:28" ht="15.75" customHeight="1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 spans="1:28" ht="15.75" customHeight="1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 spans="1:28" ht="15.75" customHeight="1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 spans="1:28" ht="15.75" customHeight="1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 spans="1:28" ht="15.75" customHeight="1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 spans="1:28" ht="15.75" customHeight="1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 spans="1:28" ht="15.75" customHeight="1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 spans="1:28" ht="15.75" customHeight="1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 spans="1:28" ht="15.75" customHeight="1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 spans="1:28" ht="15.75" customHeight="1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 spans="1:28" ht="15.75" customHeight="1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 spans="1:28" ht="15.75" customHeight="1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</row>
    <row r="235" spans="1:28" ht="15.75" customHeight="1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</row>
    <row r="236" spans="1:28" ht="15.75" customHeight="1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</row>
    <row r="237" spans="1:28" ht="15.75" customHeight="1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</row>
    <row r="238" spans="1:28" ht="15.75" customHeight="1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</row>
    <row r="239" spans="1:28" ht="15.75" customHeight="1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</row>
    <row r="240" spans="1:28" ht="15.75" customHeight="1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</row>
    <row r="241" spans="1:28" ht="15.75" customHeight="1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 spans="1:28" ht="15.75" customHeight="1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</row>
    <row r="243" spans="1:28" ht="15.75" customHeight="1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</row>
    <row r="244" spans="1:28" ht="15.75" customHeight="1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</row>
    <row r="245" spans="1:28" ht="15.75" customHeight="1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 spans="1:28" ht="15.75" customHeight="1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</row>
    <row r="247" spans="1:28" ht="15.75" customHeight="1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</row>
    <row r="248" spans="1:28" ht="15.75" customHeight="1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</row>
    <row r="249" spans="1:28" ht="15.75" customHeight="1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 spans="1:28" ht="15.75" customHeight="1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</row>
    <row r="251" spans="1:28" ht="15.75" customHeight="1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 spans="1:28" ht="15.75" customHeight="1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</row>
    <row r="253" spans="1:28" ht="15.75" customHeight="1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</row>
    <row r="254" spans="1:28" ht="15.75" customHeight="1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</row>
    <row r="255" spans="1:28" ht="15.75" customHeight="1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</row>
    <row r="256" spans="1:28" ht="15.75" customHeight="1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</row>
    <row r="257" spans="1:28" ht="15.75" customHeight="1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</row>
    <row r="258" spans="1:28" ht="15.75" customHeight="1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</row>
    <row r="259" spans="1:28" ht="15.75" customHeight="1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</row>
    <row r="260" spans="1:28" ht="15.75" customHeight="1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</row>
    <row r="261" spans="1:28" ht="15.75" customHeight="1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</row>
    <row r="262" spans="1:28" ht="15.75" customHeight="1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</row>
    <row r="263" spans="1:28" ht="15.75" customHeight="1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</row>
    <row r="264" spans="1:28" ht="15.75" customHeight="1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</row>
    <row r="265" spans="1:28" ht="15.75" customHeight="1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</row>
    <row r="266" spans="1:28" ht="15.75" customHeight="1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</row>
    <row r="267" spans="1:28" ht="15.75" customHeight="1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</row>
    <row r="268" spans="1:28" ht="15.75" customHeight="1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</row>
    <row r="269" spans="1:28" ht="15.75" customHeight="1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</row>
    <row r="270" spans="1:28" ht="15.75" customHeight="1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</row>
    <row r="271" spans="1:28" ht="15.75" customHeight="1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</row>
    <row r="272" spans="1:28" ht="15.75" customHeight="1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5.75" customHeight="1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</row>
    <row r="274" spans="1:28" ht="15.75" customHeight="1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</row>
    <row r="275" spans="1:28" ht="15.75" customHeight="1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</row>
    <row r="276" spans="1:28" ht="15.75" customHeight="1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</row>
    <row r="277" spans="1:28" ht="15.75" customHeight="1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</row>
    <row r="278" spans="1:28" ht="15.75" customHeight="1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</row>
    <row r="279" spans="1:28" ht="15.75" customHeight="1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</row>
    <row r="280" spans="1:28" ht="15.75" customHeight="1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</row>
    <row r="281" spans="1:28" ht="15.75" customHeight="1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 spans="1:28" ht="15.75" customHeight="1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</row>
    <row r="283" spans="1:28" ht="15.75" customHeight="1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 spans="1:28" ht="15.75" customHeight="1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</row>
    <row r="285" spans="1:28" ht="15.75" customHeight="1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</row>
    <row r="286" spans="1:28" ht="15.75" customHeight="1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</row>
    <row r="287" spans="1:28" ht="15.75" customHeight="1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</row>
    <row r="288" spans="1:28" ht="15.75" customHeight="1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</row>
    <row r="289" spans="1:28" ht="15.75" customHeight="1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</row>
    <row r="290" spans="1:28" ht="15.75" customHeight="1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</row>
    <row r="291" spans="1:28" ht="15.75" customHeight="1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</row>
    <row r="292" spans="1:28" ht="15.75" customHeight="1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</row>
    <row r="293" spans="1:28" ht="15.75" customHeight="1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</row>
    <row r="294" spans="1:28" ht="15.75" customHeight="1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</row>
    <row r="295" spans="1:28" ht="15.75" customHeight="1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</row>
    <row r="296" spans="1:28" ht="15.75" customHeight="1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</row>
    <row r="297" spans="1:28" ht="15.75" customHeight="1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 spans="1:28" ht="15.75" customHeight="1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</row>
    <row r="299" spans="1:28" ht="15.75" customHeight="1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</row>
    <row r="300" spans="1:28" ht="15.75" customHeight="1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</row>
    <row r="301" spans="1:28" ht="15.75" customHeight="1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</row>
    <row r="302" spans="1:28" ht="15.75" customHeight="1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</row>
    <row r="303" spans="1:28" ht="15.75" customHeight="1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</row>
    <row r="304" spans="1:28" ht="15.75" customHeight="1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</row>
    <row r="305" spans="1:28" ht="15.75" customHeight="1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</row>
    <row r="306" spans="1:28" ht="15.75" customHeight="1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</row>
    <row r="307" spans="1:28" ht="15.75" customHeight="1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</row>
    <row r="308" spans="1:28" ht="15.75" customHeight="1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</row>
    <row r="309" spans="1:28" ht="15.75" customHeight="1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</row>
    <row r="310" spans="1:28" ht="15.75" customHeight="1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</row>
    <row r="311" spans="1:28" ht="15.75" customHeight="1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</row>
    <row r="312" spans="1:28" ht="15.75" customHeight="1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</row>
    <row r="313" spans="1:28" ht="15.75" customHeight="1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</row>
    <row r="314" spans="1:28" ht="15.75" customHeight="1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</row>
    <row r="315" spans="1:28" ht="15.75" customHeight="1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</row>
    <row r="316" spans="1:28" ht="15.75" customHeight="1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</row>
    <row r="317" spans="1:28" ht="15.75" customHeight="1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</row>
    <row r="318" spans="1:28" ht="15.75" customHeight="1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</row>
    <row r="319" spans="1:28" ht="15.75" customHeight="1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</row>
    <row r="320" spans="1:28" ht="15.75" customHeight="1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</row>
    <row r="321" spans="1:28" ht="15.75" customHeight="1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</row>
    <row r="322" spans="1:28" ht="15.75" customHeight="1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</row>
    <row r="323" spans="1:28" ht="15.75" customHeight="1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</row>
    <row r="324" spans="1:28" ht="15.75" customHeight="1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</row>
    <row r="325" spans="1:28" ht="15.75" customHeight="1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</row>
    <row r="326" spans="1:28" ht="15.75" customHeight="1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</row>
    <row r="327" spans="1:28" ht="15.75" customHeight="1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</row>
    <row r="328" spans="1:28" ht="15.75" customHeight="1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</row>
    <row r="329" spans="1:28" ht="15.75" customHeight="1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</row>
    <row r="330" spans="1:28" ht="15.75" customHeight="1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</row>
    <row r="331" spans="1:28" ht="15.75" customHeight="1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</row>
    <row r="332" spans="1:28" ht="15.75" customHeight="1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5.75" customHeight="1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</row>
    <row r="334" spans="1:28" ht="15.75" customHeight="1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</row>
    <row r="335" spans="1:28" ht="15.75" customHeight="1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</row>
    <row r="336" spans="1:28" ht="15.75" customHeight="1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</row>
    <row r="337" spans="1:28" ht="15.75" customHeight="1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</row>
    <row r="338" spans="1:28" ht="15.75" customHeight="1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</row>
    <row r="339" spans="1:28" ht="15.75" customHeight="1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</row>
    <row r="340" spans="1:28" ht="15.75" customHeight="1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</row>
    <row r="341" spans="1:28" ht="15.75" customHeight="1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</row>
    <row r="342" spans="1:28" ht="15.75" customHeight="1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</row>
    <row r="343" spans="1:28" ht="15.75" customHeight="1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</row>
    <row r="344" spans="1:28" ht="15.75" customHeight="1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</row>
    <row r="345" spans="1:28" ht="15.75" customHeight="1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</row>
    <row r="346" spans="1:28" ht="15.75" customHeight="1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</row>
    <row r="347" spans="1:28" ht="15.75" customHeight="1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</row>
    <row r="348" spans="1:28" ht="15.75" customHeight="1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</row>
    <row r="349" spans="1:28" ht="15.75" customHeight="1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</row>
    <row r="350" spans="1:28" ht="15.75" customHeight="1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</row>
    <row r="351" spans="1:28" ht="15.75" customHeight="1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</row>
    <row r="352" spans="1:28" ht="15.75" customHeight="1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</row>
    <row r="353" spans="1:28" ht="15.75" customHeight="1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</row>
    <row r="354" spans="1:28" ht="15.75" customHeight="1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</row>
    <row r="355" spans="1:28" ht="15.75" customHeight="1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</row>
    <row r="356" spans="1:28" ht="15.75" customHeight="1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</row>
    <row r="357" spans="1:28" ht="15.75" customHeight="1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</row>
    <row r="358" spans="1:28" ht="15.75" customHeight="1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</row>
    <row r="359" spans="1:28" ht="15.75" customHeight="1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</row>
    <row r="360" spans="1:28" ht="15.75" customHeight="1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</row>
    <row r="361" spans="1:28" ht="15.75" customHeight="1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</row>
    <row r="362" spans="1:28" ht="15.75" customHeight="1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</row>
    <row r="363" spans="1:28" ht="15.75" customHeight="1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</row>
    <row r="364" spans="1:28" ht="15.75" customHeight="1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</row>
    <row r="365" spans="1:28" ht="15.75" customHeight="1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</row>
    <row r="366" spans="1:28" ht="15.75" customHeight="1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</row>
    <row r="367" spans="1:28" ht="15.75" customHeight="1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</row>
    <row r="368" spans="1:28" ht="15.75" customHeight="1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</row>
    <row r="369" spans="1:28" ht="15.75" customHeight="1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</row>
    <row r="370" spans="1:28" ht="15.75" customHeight="1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</row>
    <row r="371" spans="1:28" ht="15.75" customHeight="1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</row>
    <row r="372" spans="1:28" ht="15.75" customHeight="1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</row>
    <row r="373" spans="1:28" ht="15.75" customHeight="1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</row>
    <row r="374" spans="1:28" ht="15.75" customHeight="1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</row>
    <row r="375" spans="1:28" ht="15.75" customHeight="1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</row>
    <row r="376" spans="1:28" ht="15.75" customHeight="1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</row>
    <row r="377" spans="1:28" ht="15.75" customHeight="1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</row>
    <row r="378" spans="1:28" ht="15.75" customHeight="1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</row>
    <row r="379" spans="1:28" ht="15.75" customHeight="1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</row>
    <row r="380" spans="1:28" ht="15.75" customHeight="1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</row>
    <row r="381" spans="1:28" ht="15.75" customHeight="1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</row>
    <row r="382" spans="1:28" ht="15.75" customHeight="1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</row>
    <row r="383" spans="1:28" ht="15.75" customHeight="1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</row>
    <row r="384" spans="1:28" ht="15.75" customHeight="1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</row>
    <row r="385" spans="1:28" ht="15.75" customHeight="1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</row>
    <row r="386" spans="1:28" ht="15.75" customHeight="1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</row>
    <row r="387" spans="1:28" ht="15.75" customHeight="1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</row>
    <row r="388" spans="1:28" ht="15.75" customHeight="1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</row>
    <row r="389" spans="1:28" ht="15.75" customHeight="1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</row>
    <row r="390" spans="1:28" ht="15.75" customHeight="1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</row>
    <row r="391" spans="1:28" ht="15.75" customHeight="1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</row>
    <row r="392" spans="1:28" ht="15.75" customHeight="1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1:28" ht="15.75" customHeight="1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</row>
    <row r="394" spans="1:28" ht="15.75" customHeight="1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</row>
    <row r="395" spans="1:28" ht="15.75" customHeight="1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</row>
    <row r="396" spans="1:28" ht="15.75" customHeight="1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</row>
    <row r="397" spans="1:28" ht="15.75" customHeight="1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</row>
    <row r="398" spans="1:28" ht="15.75" customHeight="1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</row>
    <row r="399" spans="1:28" ht="15.75" customHeight="1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</row>
    <row r="400" spans="1:28" ht="15.75" customHeight="1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</row>
    <row r="401" spans="1:28" ht="15.75" customHeight="1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</row>
    <row r="402" spans="1:28" ht="15.75" customHeight="1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</row>
    <row r="403" spans="1:28" ht="15.75" customHeight="1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</row>
    <row r="404" spans="1:28" ht="15.75" customHeight="1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</row>
    <row r="405" spans="1:28" ht="15.75" customHeight="1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</row>
    <row r="406" spans="1:28" ht="15.75" customHeight="1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</row>
    <row r="407" spans="1:28" ht="15.75" customHeight="1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</row>
    <row r="408" spans="1:28" ht="15.75" customHeight="1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</row>
    <row r="409" spans="1:28" ht="15.75" customHeight="1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</row>
    <row r="410" spans="1:28" ht="15.75" customHeight="1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</row>
    <row r="411" spans="1:28" ht="15.75" customHeight="1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</row>
    <row r="412" spans="1:28" ht="15.75" customHeight="1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</row>
    <row r="413" spans="1:28" ht="15.75" customHeight="1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</row>
    <row r="414" spans="1:28" ht="15.75" customHeight="1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</row>
    <row r="415" spans="1:28" ht="15.75" customHeight="1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</row>
    <row r="416" spans="1:28" ht="15.75" customHeight="1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</row>
    <row r="417" spans="1:28" ht="15.75" customHeight="1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</row>
    <row r="418" spans="1:28" ht="15.75" customHeight="1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</row>
    <row r="419" spans="1:28" ht="15.75" customHeight="1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</row>
    <row r="420" spans="1:28" ht="15.75" customHeight="1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</row>
    <row r="421" spans="1:28" ht="15.75" customHeight="1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</row>
    <row r="422" spans="1:28" ht="15.75" customHeight="1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</row>
    <row r="423" spans="1:28" ht="15.75" customHeight="1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</row>
    <row r="424" spans="1:28" ht="15.75" customHeight="1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</row>
    <row r="425" spans="1:28" ht="15.75" customHeight="1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</row>
    <row r="426" spans="1:28" ht="15.75" customHeight="1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</row>
    <row r="427" spans="1:28" ht="15.75" customHeight="1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</row>
    <row r="428" spans="1:28" ht="15.75" customHeight="1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</row>
    <row r="429" spans="1:28" ht="15.75" customHeight="1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</row>
    <row r="430" spans="1:28" ht="15.75" customHeight="1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</row>
    <row r="431" spans="1:28" ht="15.75" customHeight="1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</row>
    <row r="432" spans="1:28" ht="15.75" customHeight="1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</row>
    <row r="433" spans="1:28" ht="15.75" customHeight="1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</row>
    <row r="434" spans="1:28" ht="15.75" customHeight="1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</row>
    <row r="435" spans="1:28" ht="15.75" customHeight="1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</row>
    <row r="436" spans="1:28" ht="15.75" customHeight="1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</row>
    <row r="437" spans="1:28" ht="15.75" customHeight="1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</row>
    <row r="438" spans="1:28" ht="15.75" customHeight="1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</row>
    <row r="439" spans="1:28" ht="15.75" customHeight="1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</row>
    <row r="440" spans="1:28" ht="15.75" customHeight="1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</row>
    <row r="441" spans="1:28" ht="15.75" customHeight="1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</row>
    <row r="442" spans="1:28" ht="15.75" customHeight="1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</row>
    <row r="443" spans="1:28" ht="15.75" customHeight="1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</row>
    <row r="444" spans="1:28" ht="15.75" customHeight="1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</row>
    <row r="445" spans="1:28" ht="15.75" customHeight="1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</row>
    <row r="446" spans="1:28" ht="15.75" customHeight="1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</row>
    <row r="447" spans="1:28" ht="15.75" customHeight="1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</row>
    <row r="448" spans="1:28" ht="15.75" customHeight="1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</row>
    <row r="449" spans="1:28" ht="15.75" customHeight="1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</row>
    <row r="450" spans="1:28" ht="15.75" customHeight="1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</row>
    <row r="451" spans="1:28" ht="15.75" customHeight="1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</row>
    <row r="452" spans="1:28" ht="15.75" customHeight="1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spans="1:28" ht="15.75" customHeight="1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</row>
    <row r="454" spans="1:28" ht="15.75" customHeight="1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</row>
    <row r="455" spans="1:28" ht="15.75" customHeight="1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</row>
    <row r="456" spans="1:28" ht="15.75" customHeight="1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</row>
    <row r="457" spans="1:28" ht="15.75" customHeight="1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</row>
    <row r="458" spans="1:28" ht="15.75" customHeight="1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</row>
    <row r="459" spans="1:28" ht="15.75" customHeight="1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</row>
    <row r="460" spans="1:28" ht="15.75" customHeight="1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</row>
    <row r="461" spans="1:28" ht="15.75" customHeight="1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</row>
    <row r="462" spans="1:28" ht="15.75" customHeight="1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</row>
    <row r="463" spans="1:28" ht="15.75" customHeight="1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</row>
    <row r="464" spans="1:28" ht="15.75" customHeight="1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</row>
    <row r="465" spans="1:28" ht="15.75" customHeight="1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</row>
    <row r="466" spans="1:28" ht="15.75" customHeight="1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</row>
    <row r="467" spans="1:28" ht="15.75" customHeight="1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</row>
    <row r="468" spans="1:28" ht="15.75" customHeight="1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</row>
    <row r="469" spans="1:28" ht="15.75" customHeight="1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</row>
    <row r="470" spans="1:28" ht="15.75" customHeight="1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</row>
    <row r="471" spans="1:28" ht="15.75" customHeight="1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</row>
    <row r="472" spans="1:28" ht="15.75" customHeight="1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</row>
    <row r="473" spans="1:28" ht="15.75" customHeight="1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</row>
    <row r="474" spans="1:28" ht="15.75" customHeight="1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</row>
    <row r="475" spans="1:28" ht="15.75" customHeight="1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</row>
    <row r="476" spans="1:28" ht="15.75" customHeight="1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</row>
    <row r="477" spans="1:28" ht="15.75" customHeight="1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</row>
    <row r="478" spans="1:28" ht="15.75" customHeight="1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</row>
    <row r="479" spans="1:28" ht="15.75" customHeight="1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</row>
    <row r="480" spans="1:28" ht="15.75" customHeight="1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</row>
    <row r="481" spans="1:28" ht="15.75" customHeight="1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</row>
    <row r="482" spans="1:28" ht="15.75" customHeight="1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</row>
    <row r="483" spans="1:28" ht="15.75" customHeight="1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</row>
    <row r="484" spans="1:28" ht="15.75" customHeight="1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</row>
    <row r="485" spans="1:28" ht="15.75" customHeight="1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</row>
    <row r="486" spans="1:28" ht="15.75" customHeight="1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</row>
    <row r="487" spans="1:28" ht="15.75" customHeight="1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</row>
    <row r="488" spans="1:28" ht="15.75" customHeight="1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</row>
    <row r="489" spans="1:28" ht="15.75" customHeight="1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</row>
    <row r="490" spans="1:28" ht="15.75" customHeight="1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</row>
    <row r="491" spans="1:28" ht="15.75" customHeight="1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</row>
    <row r="492" spans="1:28" ht="15.75" customHeight="1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</row>
    <row r="493" spans="1:28" ht="15.75" customHeight="1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</row>
    <row r="494" spans="1:28" ht="15.75" customHeight="1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</row>
    <row r="495" spans="1:28" ht="15.75" customHeight="1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</row>
    <row r="496" spans="1:28" ht="15.75" customHeight="1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</row>
    <row r="497" spans="1:28" ht="15.75" customHeight="1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</row>
    <row r="498" spans="1:28" ht="15.75" customHeight="1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</row>
    <row r="499" spans="1:28" ht="15.75" customHeight="1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</row>
    <row r="500" spans="1:28" ht="15.75" customHeight="1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</row>
    <row r="501" spans="1:28" ht="15.75" customHeight="1" x14ac:dyDescent="0.3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</row>
    <row r="502" spans="1:28" ht="15.75" customHeight="1" x14ac:dyDescent="0.3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</row>
    <row r="503" spans="1:28" ht="15.75" customHeight="1" x14ac:dyDescent="0.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</row>
    <row r="504" spans="1:28" ht="15.75" customHeight="1" x14ac:dyDescent="0.3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</row>
    <row r="505" spans="1:28" ht="15.75" customHeight="1" x14ac:dyDescent="0.3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</row>
    <row r="506" spans="1:28" ht="15.75" customHeight="1" x14ac:dyDescent="0.3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</row>
    <row r="507" spans="1:28" ht="15.75" customHeight="1" x14ac:dyDescent="0.3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</row>
    <row r="508" spans="1:28" ht="15.75" customHeight="1" x14ac:dyDescent="0.3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</row>
    <row r="509" spans="1:28" ht="15.75" customHeight="1" x14ac:dyDescent="0.3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</row>
    <row r="510" spans="1:28" ht="15.75" customHeight="1" x14ac:dyDescent="0.3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</row>
    <row r="511" spans="1:28" ht="15.75" customHeight="1" x14ac:dyDescent="0.3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</row>
    <row r="512" spans="1:28" ht="15.75" customHeight="1" x14ac:dyDescent="0.3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 spans="1:28" ht="15.75" customHeight="1" x14ac:dyDescent="0.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</row>
    <row r="514" spans="1:28" ht="15.75" customHeight="1" x14ac:dyDescent="0.3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</row>
    <row r="515" spans="1:28" ht="15.75" customHeight="1" x14ac:dyDescent="0.3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</row>
    <row r="516" spans="1:28" ht="15.75" customHeight="1" x14ac:dyDescent="0.3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</row>
    <row r="517" spans="1:28" ht="15.75" customHeight="1" x14ac:dyDescent="0.3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</row>
    <row r="518" spans="1:28" ht="15.75" customHeight="1" x14ac:dyDescent="0.3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</row>
    <row r="519" spans="1:28" ht="15.75" customHeight="1" x14ac:dyDescent="0.3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</row>
    <row r="520" spans="1:28" ht="15.75" customHeight="1" x14ac:dyDescent="0.3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</row>
    <row r="521" spans="1:28" ht="15.75" customHeight="1" x14ac:dyDescent="0.3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</row>
    <row r="522" spans="1:28" ht="15.75" customHeight="1" x14ac:dyDescent="0.3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</row>
    <row r="523" spans="1:28" ht="15.75" customHeight="1" x14ac:dyDescent="0.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</row>
    <row r="524" spans="1:28" ht="15.75" customHeight="1" x14ac:dyDescent="0.3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</row>
    <row r="525" spans="1:28" ht="15.75" customHeight="1" x14ac:dyDescent="0.3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</row>
    <row r="526" spans="1:28" ht="15.75" customHeight="1" x14ac:dyDescent="0.3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</row>
    <row r="527" spans="1:28" ht="15.75" customHeight="1" x14ac:dyDescent="0.3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</row>
    <row r="528" spans="1:28" ht="15.75" customHeight="1" x14ac:dyDescent="0.3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</row>
    <row r="529" spans="1:28" ht="15.75" customHeight="1" x14ac:dyDescent="0.3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</row>
    <row r="530" spans="1:28" ht="15.75" customHeight="1" x14ac:dyDescent="0.3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</row>
    <row r="531" spans="1:28" ht="15.75" customHeight="1" x14ac:dyDescent="0.3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</row>
    <row r="532" spans="1:28" ht="15.75" customHeight="1" x14ac:dyDescent="0.3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</row>
    <row r="533" spans="1:28" ht="15.75" customHeight="1" x14ac:dyDescent="0.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</row>
    <row r="534" spans="1:28" ht="15.75" customHeight="1" x14ac:dyDescent="0.3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</row>
    <row r="535" spans="1:28" ht="15.75" customHeight="1" x14ac:dyDescent="0.3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</row>
    <row r="536" spans="1:28" ht="15.75" customHeight="1" x14ac:dyDescent="0.3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</row>
    <row r="537" spans="1:28" ht="15.75" customHeight="1" x14ac:dyDescent="0.3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</row>
    <row r="538" spans="1:28" ht="15.75" customHeight="1" x14ac:dyDescent="0.3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</row>
    <row r="539" spans="1:28" ht="15.75" customHeight="1" x14ac:dyDescent="0.3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</row>
    <row r="540" spans="1:28" ht="15.75" customHeight="1" x14ac:dyDescent="0.3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</row>
    <row r="541" spans="1:28" ht="15.75" customHeight="1" x14ac:dyDescent="0.3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</row>
    <row r="542" spans="1:28" ht="15.75" customHeight="1" x14ac:dyDescent="0.3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</row>
    <row r="543" spans="1:28" ht="15.75" customHeight="1" x14ac:dyDescent="0.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</row>
    <row r="544" spans="1:28" ht="15.75" customHeight="1" x14ac:dyDescent="0.3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</row>
    <row r="545" spans="1:28" ht="15.75" customHeight="1" x14ac:dyDescent="0.3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</row>
    <row r="546" spans="1:28" ht="15.75" customHeight="1" x14ac:dyDescent="0.3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</row>
    <row r="547" spans="1:28" ht="15.75" customHeight="1" x14ac:dyDescent="0.3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</row>
    <row r="548" spans="1:28" ht="15.75" customHeight="1" x14ac:dyDescent="0.3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</row>
    <row r="549" spans="1:28" ht="15.75" customHeight="1" x14ac:dyDescent="0.3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</row>
    <row r="550" spans="1:28" ht="15.75" customHeight="1" x14ac:dyDescent="0.3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</row>
    <row r="551" spans="1:28" ht="15.75" customHeight="1" x14ac:dyDescent="0.3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</row>
    <row r="552" spans="1:28" ht="15.75" customHeight="1" x14ac:dyDescent="0.3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</row>
    <row r="553" spans="1:28" ht="15.75" customHeight="1" x14ac:dyDescent="0.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</row>
    <row r="554" spans="1:28" ht="15.75" customHeight="1" x14ac:dyDescent="0.3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</row>
    <row r="555" spans="1:28" ht="15.75" customHeight="1" x14ac:dyDescent="0.3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</row>
    <row r="556" spans="1:28" ht="15.75" customHeight="1" x14ac:dyDescent="0.3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</row>
    <row r="557" spans="1:28" ht="15.75" customHeight="1" x14ac:dyDescent="0.3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</row>
    <row r="558" spans="1:28" ht="15.75" customHeight="1" x14ac:dyDescent="0.3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</row>
    <row r="559" spans="1:28" ht="15.75" customHeight="1" x14ac:dyDescent="0.3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</row>
    <row r="560" spans="1:28" ht="15.75" customHeight="1" x14ac:dyDescent="0.3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</row>
    <row r="561" spans="1:28" ht="15.75" customHeight="1" x14ac:dyDescent="0.3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</row>
    <row r="562" spans="1:28" ht="15.75" customHeight="1" x14ac:dyDescent="0.3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</row>
    <row r="563" spans="1:28" ht="15.75" customHeight="1" x14ac:dyDescent="0.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</row>
    <row r="564" spans="1:28" ht="15.75" customHeight="1" x14ac:dyDescent="0.3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</row>
    <row r="565" spans="1:28" ht="15.75" customHeight="1" x14ac:dyDescent="0.3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</row>
    <row r="566" spans="1:28" ht="15.75" customHeight="1" x14ac:dyDescent="0.3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</row>
    <row r="567" spans="1:28" ht="15.75" customHeight="1" x14ac:dyDescent="0.3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</row>
    <row r="568" spans="1:28" ht="15.75" customHeight="1" x14ac:dyDescent="0.3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</row>
    <row r="569" spans="1:28" ht="15.75" customHeight="1" x14ac:dyDescent="0.3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</row>
    <row r="570" spans="1:28" ht="15.75" customHeight="1" x14ac:dyDescent="0.3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</row>
    <row r="571" spans="1:28" ht="15.75" customHeight="1" x14ac:dyDescent="0.3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</row>
    <row r="572" spans="1:28" ht="15.75" customHeight="1" x14ac:dyDescent="0.3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 spans="1:28" ht="15.75" customHeight="1" x14ac:dyDescent="0.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</row>
    <row r="574" spans="1:28" ht="15.75" customHeight="1" x14ac:dyDescent="0.3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</row>
    <row r="575" spans="1:28" ht="15.75" customHeight="1" x14ac:dyDescent="0.3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</row>
    <row r="576" spans="1:28" ht="15.75" customHeight="1" x14ac:dyDescent="0.3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</row>
    <row r="577" spans="1:28" ht="15.75" customHeight="1" x14ac:dyDescent="0.3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</row>
    <row r="578" spans="1:28" ht="15.75" customHeight="1" x14ac:dyDescent="0.3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</row>
    <row r="579" spans="1:28" ht="15.75" customHeight="1" x14ac:dyDescent="0.3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</row>
    <row r="580" spans="1:28" ht="15.75" customHeight="1" x14ac:dyDescent="0.3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</row>
    <row r="581" spans="1:28" ht="15.75" customHeight="1" x14ac:dyDescent="0.3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</row>
    <row r="582" spans="1:28" ht="15.75" customHeight="1" x14ac:dyDescent="0.3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</row>
    <row r="583" spans="1:28" ht="15.75" customHeight="1" x14ac:dyDescent="0.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</row>
    <row r="584" spans="1:28" ht="15.75" customHeight="1" x14ac:dyDescent="0.3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</row>
    <row r="585" spans="1:28" ht="15.75" customHeight="1" x14ac:dyDescent="0.3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</row>
    <row r="586" spans="1:28" ht="15.75" customHeight="1" x14ac:dyDescent="0.3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</row>
    <row r="587" spans="1:28" ht="15.75" customHeight="1" x14ac:dyDescent="0.3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</row>
    <row r="588" spans="1:28" ht="15.75" customHeight="1" x14ac:dyDescent="0.3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</row>
    <row r="589" spans="1:28" ht="15.75" customHeight="1" x14ac:dyDescent="0.3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</row>
    <row r="590" spans="1:28" ht="15.75" customHeight="1" x14ac:dyDescent="0.3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</row>
    <row r="591" spans="1:28" ht="15.75" customHeight="1" x14ac:dyDescent="0.3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</row>
    <row r="592" spans="1:28" ht="15.75" customHeight="1" x14ac:dyDescent="0.3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</row>
    <row r="593" spans="1:28" ht="15.75" customHeight="1" x14ac:dyDescent="0.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</row>
    <row r="594" spans="1:28" ht="15.75" customHeight="1" x14ac:dyDescent="0.3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</row>
    <row r="595" spans="1:28" ht="15.75" customHeight="1" x14ac:dyDescent="0.3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</row>
    <row r="596" spans="1:28" ht="15.75" customHeight="1" x14ac:dyDescent="0.3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</row>
    <row r="597" spans="1:28" ht="15.75" customHeight="1" x14ac:dyDescent="0.3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</row>
    <row r="598" spans="1:28" ht="15.75" customHeight="1" x14ac:dyDescent="0.3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</row>
    <row r="599" spans="1:28" ht="15.75" customHeight="1" x14ac:dyDescent="0.3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</row>
    <row r="600" spans="1:28" ht="15.75" customHeight="1" x14ac:dyDescent="0.3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</row>
    <row r="601" spans="1:28" ht="15.75" customHeight="1" x14ac:dyDescent="0.3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</row>
    <row r="602" spans="1:28" ht="15.75" customHeight="1" x14ac:dyDescent="0.3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</row>
    <row r="603" spans="1:28" ht="15.75" customHeight="1" x14ac:dyDescent="0.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</row>
    <row r="604" spans="1:28" ht="15.75" customHeight="1" x14ac:dyDescent="0.3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</row>
    <row r="605" spans="1:28" ht="15.75" customHeight="1" x14ac:dyDescent="0.3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</row>
    <row r="606" spans="1:28" ht="15.75" customHeight="1" x14ac:dyDescent="0.3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</row>
    <row r="607" spans="1:28" ht="15.75" customHeight="1" x14ac:dyDescent="0.3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</row>
    <row r="608" spans="1:28" ht="15.75" customHeight="1" x14ac:dyDescent="0.3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</row>
    <row r="609" spans="1:28" ht="15.75" customHeight="1" x14ac:dyDescent="0.3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</row>
    <row r="610" spans="1:28" ht="15.75" customHeight="1" x14ac:dyDescent="0.3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</row>
    <row r="611" spans="1:28" ht="15.75" customHeight="1" x14ac:dyDescent="0.3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</row>
    <row r="612" spans="1:28" ht="15.75" customHeight="1" x14ac:dyDescent="0.3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</row>
    <row r="613" spans="1:28" ht="15.75" customHeight="1" x14ac:dyDescent="0.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</row>
    <row r="614" spans="1:28" ht="15.75" customHeight="1" x14ac:dyDescent="0.3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</row>
    <row r="615" spans="1:28" ht="15.75" customHeight="1" x14ac:dyDescent="0.3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</row>
    <row r="616" spans="1:28" ht="15.75" customHeight="1" x14ac:dyDescent="0.3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</row>
    <row r="617" spans="1:28" ht="15.75" customHeight="1" x14ac:dyDescent="0.3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</row>
    <row r="618" spans="1:28" ht="15.75" customHeight="1" x14ac:dyDescent="0.3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</row>
    <row r="619" spans="1:28" ht="15.75" customHeight="1" x14ac:dyDescent="0.3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</row>
    <row r="620" spans="1:28" ht="15.75" customHeight="1" x14ac:dyDescent="0.3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</row>
    <row r="621" spans="1:28" ht="15.75" customHeight="1" x14ac:dyDescent="0.3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</row>
    <row r="622" spans="1:28" ht="15.75" customHeight="1" x14ac:dyDescent="0.3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</row>
    <row r="623" spans="1:28" ht="15.75" customHeight="1" x14ac:dyDescent="0.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</row>
    <row r="624" spans="1:28" ht="15.75" customHeight="1" x14ac:dyDescent="0.3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</row>
    <row r="625" spans="1:28" ht="15.75" customHeight="1" x14ac:dyDescent="0.3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</row>
    <row r="626" spans="1:28" ht="15.75" customHeight="1" x14ac:dyDescent="0.3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</row>
    <row r="627" spans="1:28" ht="15.75" customHeight="1" x14ac:dyDescent="0.3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</row>
    <row r="628" spans="1:28" ht="15.75" customHeight="1" x14ac:dyDescent="0.3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</row>
    <row r="629" spans="1:28" ht="15.75" customHeight="1" x14ac:dyDescent="0.3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</row>
    <row r="630" spans="1:28" ht="15.75" customHeight="1" x14ac:dyDescent="0.3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</row>
    <row r="631" spans="1:28" ht="15.75" customHeight="1" x14ac:dyDescent="0.3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</row>
    <row r="632" spans="1:28" ht="15.75" customHeight="1" x14ac:dyDescent="0.3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 spans="1:28" ht="15.75" customHeight="1" x14ac:dyDescent="0.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</row>
    <row r="634" spans="1:28" ht="15.75" customHeight="1" x14ac:dyDescent="0.3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</row>
    <row r="635" spans="1:28" ht="15.75" customHeight="1" x14ac:dyDescent="0.3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</row>
    <row r="636" spans="1:28" ht="15.75" customHeight="1" x14ac:dyDescent="0.3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</row>
    <row r="637" spans="1:28" ht="15.75" customHeight="1" x14ac:dyDescent="0.3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</row>
    <row r="638" spans="1:28" ht="15.75" customHeight="1" x14ac:dyDescent="0.3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</row>
    <row r="639" spans="1:28" ht="15.75" customHeight="1" x14ac:dyDescent="0.3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</row>
    <row r="640" spans="1:28" ht="15.75" customHeight="1" x14ac:dyDescent="0.3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</row>
    <row r="641" spans="1:28" ht="15.75" customHeight="1" x14ac:dyDescent="0.3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</row>
    <row r="642" spans="1:28" ht="15.75" customHeight="1" x14ac:dyDescent="0.3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</row>
    <row r="643" spans="1:28" ht="15.75" customHeight="1" x14ac:dyDescent="0.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</row>
    <row r="644" spans="1:28" ht="15.75" customHeight="1" x14ac:dyDescent="0.3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</row>
    <row r="645" spans="1:28" ht="15.75" customHeight="1" x14ac:dyDescent="0.3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</row>
    <row r="646" spans="1:28" ht="15.75" customHeight="1" x14ac:dyDescent="0.3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</row>
    <row r="647" spans="1:28" ht="15.75" customHeight="1" x14ac:dyDescent="0.3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</row>
    <row r="648" spans="1:28" ht="15.75" customHeight="1" x14ac:dyDescent="0.3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</row>
    <row r="649" spans="1:28" ht="15.75" customHeight="1" x14ac:dyDescent="0.3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</row>
    <row r="650" spans="1:28" ht="15.75" customHeight="1" x14ac:dyDescent="0.3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</row>
    <row r="651" spans="1:28" ht="15.75" customHeight="1" x14ac:dyDescent="0.3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</row>
    <row r="652" spans="1:28" ht="15.75" customHeight="1" x14ac:dyDescent="0.3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</row>
    <row r="653" spans="1:28" ht="15.75" customHeight="1" x14ac:dyDescent="0.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</row>
    <row r="654" spans="1:28" ht="15.75" customHeight="1" x14ac:dyDescent="0.3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</row>
    <row r="655" spans="1:28" ht="15.75" customHeight="1" x14ac:dyDescent="0.3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</row>
    <row r="656" spans="1:28" ht="15.75" customHeight="1" x14ac:dyDescent="0.3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</row>
    <row r="657" spans="1:28" ht="15.75" customHeight="1" x14ac:dyDescent="0.3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</row>
    <row r="658" spans="1:28" ht="15.75" customHeight="1" x14ac:dyDescent="0.3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</row>
    <row r="659" spans="1:28" ht="15.75" customHeight="1" x14ac:dyDescent="0.3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</row>
    <row r="660" spans="1:28" ht="15.75" customHeight="1" x14ac:dyDescent="0.3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</row>
    <row r="661" spans="1:28" ht="15.75" customHeight="1" x14ac:dyDescent="0.3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</row>
    <row r="662" spans="1:28" ht="15.75" customHeight="1" x14ac:dyDescent="0.3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</row>
    <row r="663" spans="1:28" ht="15.75" customHeight="1" x14ac:dyDescent="0.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</row>
    <row r="664" spans="1:28" ht="15.75" customHeight="1" x14ac:dyDescent="0.3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</row>
    <row r="665" spans="1:28" ht="15.75" customHeight="1" x14ac:dyDescent="0.3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</row>
    <row r="666" spans="1:28" ht="15.75" customHeight="1" x14ac:dyDescent="0.3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</row>
    <row r="667" spans="1:28" ht="15.75" customHeight="1" x14ac:dyDescent="0.3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</row>
    <row r="668" spans="1:28" ht="15.75" customHeight="1" x14ac:dyDescent="0.3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</row>
    <row r="669" spans="1:28" ht="15.75" customHeight="1" x14ac:dyDescent="0.3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</row>
    <row r="670" spans="1:28" ht="15.75" customHeight="1" x14ac:dyDescent="0.3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</row>
    <row r="671" spans="1:28" ht="15.75" customHeight="1" x14ac:dyDescent="0.3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</row>
    <row r="672" spans="1:28" ht="15.75" customHeight="1" x14ac:dyDescent="0.3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</row>
    <row r="673" spans="1:28" ht="15.75" customHeight="1" x14ac:dyDescent="0.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</row>
    <row r="674" spans="1:28" ht="15.75" customHeight="1" x14ac:dyDescent="0.3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</row>
    <row r="675" spans="1:28" ht="15.75" customHeight="1" x14ac:dyDescent="0.3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</row>
    <row r="676" spans="1:28" ht="15.75" customHeight="1" x14ac:dyDescent="0.3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</row>
    <row r="677" spans="1:28" ht="15.75" customHeight="1" x14ac:dyDescent="0.3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</row>
    <row r="678" spans="1:28" ht="15.75" customHeight="1" x14ac:dyDescent="0.3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</row>
    <row r="679" spans="1:28" ht="15.75" customHeight="1" x14ac:dyDescent="0.3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</row>
    <row r="680" spans="1:28" ht="15.75" customHeight="1" x14ac:dyDescent="0.3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</row>
    <row r="681" spans="1:28" ht="15.75" customHeight="1" x14ac:dyDescent="0.3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</row>
    <row r="682" spans="1:28" ht="15.75" customHeight="1" x14ac:dyDescent="0.3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</row>
    <row r="683" spans="1:28" ht="15.75" customHeight="1" x14ac:dyDescent="0.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</row>
    <row r="684" spans="1:28" ht="15.75" customHeight="1" x14ac:dyDescent="0.3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</row>
    <row r="685" spans="1:28" ht="15.75" customHeight="1" x14ac:dyDescent="0.3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</row>
    <row r="686" spans="1:28" ht="15.75" customHeight="1" x14ac:dyDescent="0.3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</row>
    <row r="687" spans="1:28" ht="15.75" customHeight="1" x14ac:dyDescent="0.3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</row>
    <row r="688" spans="1:28" ht="15.75" customHeight="1" x14ac:dyDescent="0.3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</row>
    <row r="689" spans="1:28" ht="15.75" customHeight="1" x14ac:dyDescent="0.3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</row>
    <row r="690" spans="1:28" ht="15.75" customHeight="1" x14ac:dyDescent="0.3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</row>
    <row r="691" spans="1:28" ht="15.75" customHeight="1" x14ac:dyDescent="0.3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</row>
    <row r="692" spans="1:28" ht="15.75" customHeight="1" x14ac:dyDescent="0.3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 spans="1:28" ht="15.75" customHeight="1" x14ac:dyDescent="0.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</row>
    <row r="694" spans="1:28" ht="15.75" customHeight="1" x14ac:dyDescent="0.3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</row>
    <row r="695" spans="1:28" ht="15.75" customHeight="1" x14ac:dyDescent="0.3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</row>
    <row r="696" spans="1:28" ht="15.75" customHeight="1" x14ac:dyDescent="0.3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</row>
    <row r="697" spans="1:28" ht="15.75" customHeight="1" x14ac:dyDescent="0.3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</row>
    <row r="698" spans="1:28" ht="15.75" customHeight="1" x14ac:dyDescent="0.3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</row>
    <row r="699" spans="1:28" ht="15.75" customHeight="1" x14ac:dyDescent="0.3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</row>
    <row r="700" spans="1:28" ht="15.75" customHeight="1" x14ac:dyDescent="0.3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</row>
    <row r="701" spans="1:28" ht="15.75" customHeight="1" x14ac:dyDescent="0.3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</row>
    <row r="702" spans="1:28" ht="15.75" customHeight="1" x14ac:dyDescent="0.3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</row>
    <row r="703" spans="1:28" ht="15.75" customHeight="1" x14ac:dyDescent="0.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</row>
    <row r="704" spans="1:28" ht="15.75" customHeight="1" x14ac:dyDescent="0.3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</row>
    <row r="705" spans="1:28" ht="15.75" customHeight="1" x14ac:dyDescent="0.3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</row>
    <row r="706" spans="1:28" ht="15.75" customHeight="1" x14ac:dyDescent="0.3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</row>
    <row r="707" spans="1:28" ht="15.75" customHeight="1" x14ac:dyDescent="0.3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</row>
    <row r="708" spans="1:28" ht="15.75" customHeight="1" x14ac:dyDescent="0.3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</row>
    <row r="709" spans="1:28" ht="15.75" customHeight="1" x14ac:dyDescent="0.3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</row>
    <row r="710" spans="1:28" ht="15.75" customHeight="1" x14ac:dyDescent="0.3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</row>
    <row r="711" spans="1:28" ht="15.75" customHeight="1" x14ac:dyDescent="0.3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</row>
    <row r="712" spans="1:28" ht="15.75" customHeight="1" x14ac:dyDescent="0.3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</row>
    <row r="713" spans="1:28" ht="15.75" customHeight="1" x14ac:dyDescent="0.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</row>
    <row r="714" spans="1:28" ht="15.75" customHeight="1" x14ac:dyDescent="0.3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</row>
    <row r="715" spans="1:28" ht="15.75" customHeight="1" x14ac:dyDescent="0.3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</row>
    <row r="716" spans="1:28" ht="15.75" customHeight="1" x14ac:dyDescent="0.3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</row>
    <row r="717" spans="1:28" ht="15.75" customHeight="1" x14ac:dyDescent="0.3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</row>
    <row r="718" spans="1:28" ht="15.75" customHeight="1" x14ac:dyDescent="0.3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</row>
    <row r="719" spans="1:28" ht="15.75" customHeight="1" x14ac:dyDescent="0.3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</row>
    <row r="720" spans="1:28" ht="15.75" customHeight="1" x14ac:dyDescent="0.3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</row>
    <row r="721" spans="1:28" ht="15.75" customHeight="1" x14ac:dyDescent="0.3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</row>
    <row r="722" spans="1:28" ht="15.75" customHeight="1" x14ac:dyDescent="0.3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</row>
    <row r="723" spans="1:28" ht="15.75" customHeight="1" x14ac:dyDescent="0.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</row>
    <row r="724" spans="1:28" ht="15.75" customHeight="1" x14ac:dyDescent="0.3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</row>
    <row r="725" spans="1:28" ht="15.75" customHeight="1" x14ac:dyDescent="0.3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</row>
    <row r="726" spans="1:28" ht="15.75" customHeight="1" x14ac:dyDescent="0.3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</row>
    <row r="727" spans="1:28" ht="15.75" customHeight="1" x14ac:dyDescent="0.3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</row>
    <row r="728" spans="1:28" ht="15.75" customHeight="1" x14ac:dyDescent="0.3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</row>
    <row r="729" spans="1:28" ht="15.75" customHeight="1" x14ac:dyDescent="0.3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</row>
    <row r="730" spans="1:28" ht="15.75" customHeight="1" x14ac:dyDescent="0.3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</row>
    <row r="731" spans="1:28" ht="15.75" customHeight="1" x14ac:dyDescent="0.3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</row>
    <row r="732" spans="1:28" ht="15.75" customHeight="1" x14ac:dyDescent="0.3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</row>
    <row r="733" spans="1:28" ht="15.75" customHeight="1" x14ac:dyDescent="0.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</row>
    <row r="734" spans="1:28" ht="15.75" customHeight="1" x14ac:dyDescent="0.3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</row>
    <row r="735" spans="1:28" ht="15.75" customHeight="1" x14ac:dyDescent="0.3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</row>
    <row r="736" spans="1:28" ht="15.75" customHeight="1" x14ac:dyDescent="0.3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</row>
    <row r="737" spans="1:28" ht="15.75" customHeight="1" x14ac:dyDescent="0.3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</row>
    <row r="738" spans="1:28" ht="15.75" customHeight="1" x14ac:dyDescent="0.3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</row>
    <row r="739" spans="1:28" ht="15.75" customHeight="1" x14ac:dyDescent="0.3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</row>
    <row r="740" spans="1:28" ht="15.75" customHeight="1" x14ac:dyDescent="0.3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</row>
    <row r="741" spans="1:28" ht="15.75" customHeight="1" x14ac:dyDescent="0.3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</row>
    <row r="742" spans="1:28" ht="15.75" customHeight="1" x14ac:dyDescent="0.3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</row>
    <row r="743" spans="1:28" ht="15.75" customHeight="1" x14ac:dyDescent="0.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</row>
    <row r="744" spans="1:28" ht="15.75" customHeight="1" x14ac:dyDescent="0.3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</row>
    <row r="745" spans="1:28" ht="15.75" customHeight="1" x14ac:dyDescent="0.3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</row>
    <row r="746" spans="1:28" ht="15.75" customHeight="1" x14ac:dyDescent="0.3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</row>
    <row r="747" spans="1:28" ht="15.75" customHeight="1" x14ac:dyDescent="0.3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</row>
    <row r="748" spans="1:28" ht="15.75" customHeight="1" x14ac:dyDescent="0.3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</row>
    <row r="749" spans="1:28" ht="15.75" customHeight="1" x14ac:dyDescent="0.3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</row>
    <row r="750" spans="1:28" ht="15.75" customHeight="1" x14ac:dyDescent="0.3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</row>
    <row r="751" spans="1:28" ht="15.75" customHeight="1" x14ac:dyDescent="0.3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</row>
    <row r="752" spans="1:28" ht="15.75" customHeight="1" x14ac:dyDescent="0.3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 spans="1:28" ht="15.75" customHeight="1" x14ac:dyDescent="0.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</row>
    <row r="754" spans="1:28" ht="15.75" customHeight="1" x14ac:dyDescent="0.3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</row>
    <row r="755" spans="1:28" ht="15.75" customHeight="1" x14ac:dyDescent="0.3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</row>
    <row r="756" spans="1:28" ht="15.75" customHeight="1" x14ac:dyDescent="0.3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</row>
    <row r="757" spans="1:28" ht="15.75" customHeight="1" x14ac:dyDescent="0.3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</row>
    <row r="758" spans="1:28" ht="15.75" customHeight="1" x14ac:dyDescent="0.3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</row>
    <row r="759" spans="1:28" ht="15.75" customHeight="1" x14ac:dyDescent="0.3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</row>
    <row r="760" spans="1:28" ht="15.75" customHeight="1" x14ac:dyDescent="0.3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</row>
    <row r="761" spans="1:28" ht="15.75" customHeight="1" x14ac:dyDescent="0.3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</row>
    <row r="762" spans="1:28" ht="15.75" customHeight="1" x14ac:dyDescent="0.3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</row>
    <row r="763" spans="1:28" ht="15.75" customHeight="1" x14ac:dyDescent="0.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</row>
    <row r="764" spans="1:28" ht="15.75" customHeight="1" x14ac:dyDescent="0.3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</row>
    <row r="765" spans="1:28" ht="15.75" customHeight="1" x14ac:dyDescent="0.3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</row>
    <row r="766" spans="1:28" ht="15.75" customHeight="1" x14ac:dyDescent="0.3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</row>
    <row r="767" spans="1:28" ht="15.75" customHeight="1" x14ac:dyDescent="0.3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</row>
    <row r="768" spans="1:28" ht="15.75" customHeight="1" x14ac:dyDescent="0.3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</row>
    <row r="769" spans="1:28" ht="15.75" customHeight="1" x14ac:dyDescent="0.3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</row>
    <row r="770" spans="1:28" ht="15.75" customHeight="1" x14ac:dyDescent="0.3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</row>
    <row r="771" spans="1:28" ht="15.75" customHeight="1" x14ac:dyDescent="0.3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</row>
    <row r="772" spans="1:28" ht="15.75" customHeight="1" x14ac:dyDescent="0.3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</row>
    <row r="773" spans="1:28" ht="15.75" customHeight="1" x14ac:dyDescent="0.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</row>
    <row r="774" spans="1:28" ht="15.75" customHeight="1" x14ac:dyDescent="0.3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</row>
    <row r="775" spans="1:28" ht="15.75" customHeight="1" x14ac:dyDescent="0.3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</row>
    <row r="776" spans="1:28" ht="15.75" customHeight="1" x14ac:dyDescent="0.3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</row>
    <row r="777" spans="1:28" ht="15.75" customHeight="1" x14ac:dyDescent="0.3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</row>
    <row r="778" spans="1:28" ht="15.75" customHeight="1" x14ac:dyDescent="0.3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</row>
    <row r="779" spans="1:28" ht="15.75" customHeight="1" x14ac:dyDescent="0.3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</row>
    <row r="780" spans="1:28" ht="15.75" customHeight="1" x14ac:dyDescent="0.3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</row>
    <row r="781" spans="1:28" ht="15.75" customHeight="1" x14ac:dyDescent="0.3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</row>
    <row r="782" spans="1:28" ht="15.75" customHeight="1" x14ac:dyDescent="0.3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</row>
    <row r="783" spans="1:28" ht="15.75" customHeight="1" x14ac:dyDescent="0.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</row>
    <row r="784" spans="1:28" ht="15.75" customHeight="1" x14ac:dyDescent="0.3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</row>
    <row r="785" spans="1:28" ht="15.75" customHeight="1" x14ac:dyDescent="0.3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</row>
    <row r="786" spans="1:28" ht="15.75" customHeight="1" x14ac:dyDescent="0.3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</row>
    <row r="787" spans="1:28" ht="15.75" customHeight="1" x14ac:dyDescent="0.3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</row>
    <row r="788" spans="1:28" ht="15.75" customHeight="1" x14ac:dyDescent="0.3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</row>
    <row r="789" spans="1:28" ht="15.75" customHeight="1" x14ac:dyDescent="0.3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</row>
    <row r="790" spans="1:28" ht="15.75" customHeight="1" x14ac:dyDescent="0.3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</row>
    <row r="791" spans="1:28" ht="15.75" customHeight="1" x14ac:dyDescent="0.3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</row>
    <row r="792" spans="1:28" ht="15.75" customHeight="1" x14ac:dyDescent="0.3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</row>
    <row r="793" spans="1:28" ht="15.75" customHeight="1" x14ac:dyDescent="0.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</row>
    <row r="794" spans="1:28" ht="15.75" customHeight="1" x14ac:dyDescent="0.3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</row>
    <row r="795" spans="1:28" ht="15.75" customHeight="1" x14ac:dyDescent="0.3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</row>
    <row r="796" spans="1:28" ht="15.75" customHeight="1" x14ac:dyDescent="0.3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</row>
    <row r="797" spans="1:28" ht="15.75" customHeight="1" x14ac:dyDescent="0.3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</row>
    <row r="798" spans="1:28" ht="15.75" customHeight="1" x14ac:dyDescent="0.3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</row>
    <row r="799" spans="1:28" ht="15.75" customHeight="1" x14ac:dyDescent="0.3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</row>
    <row r="800" spans="1:28" ht="15.75" customHeight="1" x14ac:dyDescent="0.3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</row>
    <row r="801" spans="1:28" ht="15.75" customHeight="1" x14ac:dyDescent="0.3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</row>
    <row r="802" spans="1:28" ht="15.75" customHeight="1" x14ac:dyDescent="0.3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</row>
    <row r="803" spans="1:28" ht="15.75" customHeight="1" x14ac:dyDescent="0.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</row>
    <row r="804" spans="1:28" ht="15.75" customHeight="1" x14ac:dyDescent="0.3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</row>
    <row r="805" spans="1:28" ht="15.75" customHeight="1" x14ac:dyDescent="0.3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</row>
    <row r="806" spans="1:28" ht="15.75" customHeight="1" x14ac:dyDescent="0.3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</row>
    <row r="807" spans="1:28" ht="15.75" customHeight="1" x14ac:dyDescent="0.3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</row>
    <row r="808" spans="1:28" ht="15.75" customHeight="1" x14ac:dyDescent="0.3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</row>
    <row r="809" spans="1:28" ht="15.75" customHeight="1" x14ac:dyDescent="0.3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</row>
    <row r="810" spans="1:28" ht="15.75" customHeight="1" x14ac:dyDescent="0.3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</row>
    <row r="811" spans="1:28" ht="15.75" customHeight="1" x14ac:dyDescent="0.3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</row>
    <row r="812" spans="1:28" ht="15.75" customHeight="1" x14ac:dyDescent="0.3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 spans="1:28" ht="15.75" customHeight="1" x14ac:dyDescent="0.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</row>
    <row r="814" spans="1:28" ht="15.75" customHeight="1" x14ac:dyDescent="0.3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</row>
    <row r="815" spans="1:28" ht="15.75" customHeight="1" x14ac:dyDescent="0.3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</row>
    <row r="816" spans="1:28" ht="15.75" customHeight="1" x14ac:dyDescent="0.3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</row>
    <row r="817" spans="1:28" ht="15.75" customHeight="1" x14ac:dyDescent="0.3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</row>
    <row r="818" spans="1:28" ht="15.75" customHeight="1" x14ac:dyDescent="0.3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</row>
    <row r="819" spans="1:28" ht="15.75" customHeight="1" x14ac:dyDescent="0.3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</row>
    <row r="820" spans="1:28" ht="15.75" customHeight="1" x14ac:dyDescent="0.3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</row>
    <row r="821" spans="1:28" ht="15.75" customHeight="1" x14ac:dyDescent="0.3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</row>
    <row r="822" spans="1:28" ht="15.75" customHeight="1" x14ac:dyDescent="0.3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</row>
    <row r="823" spans="1:28" ht="15.75" customHeight="1" x14ac:dyDescent="0.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</row>
    <row r="824" spans="1:28" ht="15.75" customHeight="1" x14ac:dyDescent="0.3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</row>
    <row r="825" spans="1:28" ht="15.75" customHeight="1" x14ac:dyDescent="0.3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</row>
    <row r="826" spans="1:28" ht="15.75" customHeight="1" x14ac:dyDescent="0.3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</row>
    <row r="827" spans="1:28" ht="15.75" customHeight="1" x14ac:dyDescent="0.3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</row>
    <row r="828" spans="1:28" ht="15.75" customHeight="1" x14ac:dyDescent="0.3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</row>
    <row r="829" spans="1:28" ht="15.75" customHeight="1" x14ac:dyDescent="0.3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</row>
    <row r="830" spans="1:28" ht="15.75" customHeight="1" x14ac:dyDescent="0.3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</row>
    <row r="831" spans="1:28" ht="15.75" customHeight="1" x14ac:dyDescent="0.3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</row>
    <row r="832" spans="1:28" ht="15.75" customHeight="1" x14ac:dyDescent="0.3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</row>
    <row r="833" spans="1:28" ht="15.75" customHeight="1" x14ac:dyDescent="0.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</row>
    <row r="834" spans="1:28" ht="15.75" customHeight="1" x14ac:dyDescent="0.3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</row>
    <row r="835" spans="1:28" ht="15.75" customHeight="1" x14ac:dyDescent="0.3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</row>
    <row r="836" spans="1:28" ht="15.75" customHeight="1" x14ac:dyDescent="0.3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</row>
    <row r="837" spans="1:28" ht="15.75" customHeight="1" x14ac:dyDescent="0.3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</row>
    <row r="838" spans="1:28" ht="15.75" customHeight="1" x14ac:dyDescent="0.3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</row>
    <row r="839" spans="1:28" ht="15.75" customHeight="1" x14ac:dyDescent="0.3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</row>
    <row r="840" spans="1:28" ht="15.75" customHeight="1" x14ac:dyDescent="0.3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</row>
    <row r="841" spans="1:28" ht="15.75" customHeight="1" x14ac:dyDescent="0.3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</row>
    <row r="842" spans="1:28" ht="15.75" customHeight="1" x14ac:dyDescent="0.3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</row>
    <row r="843" spans="1:28" ht="15.75" customHeight="1" x14ac:dyDescent="0.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</row>
    <row r="844" spans="1:28" ht="15.75" customHeight="1" x14ac:dyDescent="0.3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</row>
    <row r="845" spans="1:28" ht="15.75" customHeight="1" x14ac:dyDescent="0.3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</row>
    <row r="846" spans="1:28" ht="15.75" customHeight="1" x14ac:dyDescent="0.3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</row>
    <row r="847" spans="1:28" ht="15.75" customHeight="1" x14ac:dyDescent="0.3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</row>
    <row r="848" spans="1:28" ht="15.75" customHeight="1" x14ac:dyDescent="0.3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</row>
    <row r="849" spans="1:28" ht="15.75" customHeight="1" x14ac:dyDescent="0.3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</row>
    <row r="850" spans="1:28" ht="15.75" customHeight="1" x14ac:dyDescent="0.3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</row>
    <row r="851" spans="1:28" ht="15.75" customHeight="1" x14ac:dyDescent="0.3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</row>
    <row r="852" spans="1:28" ht="15.75" customHeight="1" x14ac:dyDescent="0.3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</row>
    <row r="853" spans="1:28" ht="15.75" customHeight="1" x14ac:dyDescent="0.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</row>
    <row r="854" spans="1:28" ht="15.75" customHeight="1" x14ac:dyDescent="0.3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</row>
    <row r="855" spans="1:28" ht="15.75" customHeight="1" x14ac:dyDescent="0.3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</row>
    <row r="856" spans="1:28" ht="15.75" customHeight="1" x14ac:dyDescent="0.3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</row>
    <row r="857" spans="1:28" ht="15.75" customHeight="1" x14ac:dyDescent="0.3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</row>
    <row r="858" spans="1:28" ht="15.75" customHeight="1" x14ac:dyDescent="0.3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</row>
    <row r="859" spans="1:28" ht="15.75" customHeight="1" x14ac:dyDescent="0.3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</row>
    <row r="860" spans="1:28" ht="15.75" customHeight="1" x14ac:dyDescent="0.3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</row>
    <row r="861" spans="1:28" ht="15.75" customHeight="1" x14ac:dyDescent="0.3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</row>
    <row r="862" spans="1:28" ht="15.75" customHeight="1" x14ac:dyDescent="0.3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</row>
    <row r="863" spans="1:28" ht="15.75" customHeight="1" x14ac:dyDescent="0.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</row>
    <row r="864" spans="1:28" ht="15.75" customHeight="1" x14ac:dyDescent="0.3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</row>
    <row r="865" spans="1:28" ht="15.75" customHeight="1" x14ac:dyDescent="0.3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</row>
    <row r="866" spans="1:28" ht="15.75" customHeight="1" x14ac:dyDescent="0.3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</row>
    <row r="867" spans="1:28" ht="15.75" customHeight="1" x14ac:dyDescent="0.3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</row>
    <row r="868" spans="1:28" ht="15.75" customHeight="1" x14ac:dyDescent="0.3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</row>
    <row r="869" spans="1:28" ht="15.75" customHeight="1" x14ac:dyDescent="0.3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</row>
    <row r="870" spans="1:28" ht="15.75" customHeight="1" x14ac:dyDescent="0.3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</row>
    <row r="871" spans="1:28" ht="15.75" customHeight="1" x14ac:dyDescent="0.3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</row>
    <row r="872" spans="1:28" ht="15.75" customHeight="1" x14ac:dyDescent="0.3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 spans="1:28" ht="15.75" customHeight="1" x14ac:dyDescent="0.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</row>
    <row r="874" spans="1:28" ht="15.75" customHeight="1" x14ac:dyDescent="0.3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</row>
    <row r="875" spans="1:28" ht="15.75" customHeight="1" x14ac:dyDescent="0.3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</row>
    <row r="876" spans="1:28" ht="15.75" customHeight="1" x14ac:dyDescent="0.3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</row>
    <row r="877" spans="1:28" ht="15.75" customHeight="1" x14ac:dyDescent="0.3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</row>
    <row r="878" spans="1:28" ht="15.75" customHeight="1" x14ac:dyDescent="0.3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</row>
    <row r="879" spans="1:28" ht="15.75" customHeight="1" x14ac:dyDescent="0.3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</row>
    <row r="880" spans="1:28" ht="15.75" customHeight="1" x14ac:dyDescent="0.3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</row>
    <row r="881" spans="1:28" ht="15.75" customHeight="1" x14ac:dyDescent="0.3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</row>
    <row r="882" spans="1:28" ht="15.75" customHeight="1" x14ac:dyDescent="0.3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</row>
    <row r="883" spans="1:28" ht="15.75" customHeight="1" x14ac:dyDescent="0.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</row>
    <row r="884" spans="1:28" ht="15.75" customHeight="1" x14ac:dyDescent="0.3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</row>
    <row r="885" spans="1:28" ht="15.75" customHeight="1" x14ac:dyDescent="0.3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</row>
    <row r="886" spans="1:28" ht="15.75" customHeight="1" x14ac:dyDescent="0.3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</row>
    <row r="887" spans="1:28" ht="15.75" customHeight="1" x14ac:dyDescent="0.3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</row>
    <row r="888" spans="1:28" ht="15.75" customHeight="1" x14ac:dyDescent="0.3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</row>
    <row r="889" spans="1:28" ht="15.75" customHeight="1" x14ac:dyDescent="0.3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</row>
    <row r="890" spans="1:28" ht="15.75" customHeight="1" x14ac:dyDescent="0.3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</row>
    <row r="891" spans="1:28" ht="15.75" customHeight="1" x14ac:dyDescent="0.3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</row>
    <row r="892" spans="1:28" ht="15.75" customHeight="1" x14ac:dyDescent="0.3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</row>
    <row r="893" spans="1:28" ht="15.75" customHeight="1" x14ac:dyDescent="0.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</row>
    <row r="894" spans="1:28" ht="15.75" customHeight="1" x14ac:dyDescent="0.3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</row>
    <row r="895" spans="1:28" ht="15.75" customHeight="1" x14ac:dyDescent="0.3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</row>
    <row r="896" spans="1:28" ht="15.75" customHeight="1" x14ac:dyDescent="0.3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</row>
    <row r="897" spans="1:28" ht="15.75" customHeight="1" x14ac:dyDescent="0.3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</row>
    <row r="898" spans="1:28" ht="15.75" customHeight="1" x14ac:dyDescent="0.3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</row>
    <row r="899" spans="1:28" ht="15.75" customHeight="1" x14ac:dyDescent="0.3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</row>
    <row r="900" spans="1:28" ht="15.75" customHeight="1" x14ac:dyDescent="0.3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</row>
    <row r="901" spans="1:28" ht="15.75" customHeight="1" x14ac:dyDescent="0.3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</row>
    <row r="902" spans="1:28" ht="15.75" customHeight="1" x14ac:dyDescent="0.3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</row>
    <row r="903" spans="1:28" ht="15.75" customHeight="1" x14ac:dyDescent="0.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</row>
    <row r="904" spans="1:28" ht="15.75" customHeight="1" x14ac:dyDescent="0.3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</row>
    <row r="905" spans="1:28" ht="15.75" customHeight="1" x14ac:dyDescent="0.3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</row>
    <row r="906" spans="1:28" ht="15.75" customHeight="1" x14ac:dyDescent="0.3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</row>
    <row r="907" spans="1:28" ht="15.75" customHeight="1" x14ac:dyDescent="0.3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</row>
    <row r="908" spans="1:28" ht="15.75" customHeight="1" x14ac:dyDescent="0.3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</row>
    <row r="909" spans="1:28" ht="15.75" customHeight="1" x14ac:dyDescent="0.3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</row>
    <row r="910" spans="1:28" ht="15.75" customHeight="1" x14ac:dyDescent="0.3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</row>
    <row r="911" spans="1:28" ht="15.75" customHeight="1" x14ac:dyDescent="0.3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</row>
    <row r="912" spans="1:28" ht="15.75" customHeight="1" x14ac:dyDescent="0.3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</row>
    <row r="913" spans="1:28" ht="15.75" customHeight="1" x14ac:dyDescent="0.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</row>
    <row r="914" spans="1:28" ht="15.75" customHeight="1" x14ac:dyDescent="0.3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</row>
    <row r="915" spans="1:28" ht="15.75" customHeight="1" x14ac:dyDescent="0.3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</row>
    <row r="916" spans="1:28" ht="15.75" customHeight="1" x14ac:dyDescent="0.3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</row>
    <row r="917" spans="1:28" ht="15.75" customHeight="1" x14ac:dyDescent="0.3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</row>
    <row r="918" spans="1:28" ht="15.75" customHeight="1" x14ac:dyDescent="0.3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</row>
    <row r="919" spans="1:28" ht="15.75" customHeight="1" x14ac:dyDescent="0.3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</row>
    <row r="920" spans="1:28" ht="15.75" customHeight="1" x14ac:dyDescent="0.3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</row>
    <row r="921" spans="1:28" ht="15.75" customHeight="1" x14ac:dyDescent="0.3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</row>
    <row r="922" spans="1:28" ht="15.75" customHeight="1" x14ac:dyDescent="0.3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</row>
    <row r="923" spans="1:28" ht="15.75" customHeight="1" x14ac:dyDescent="0.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</row>
    <row r="924" spans="1:28" ht="15.75" customHeight="1" x14ac:dyDescent="0.3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</row>
    <row r="925" spans="1:28" ht="15.75" customHeight="1" x14ac:dyDescent="0.3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</row>
    <row r="926" spans="1:28" ht="15.75" customHeight="1" x14ac:dyDescent="0.3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</row>
    <row r="927" spans="1:28" ht="15.75" customHeight="1" x14ac:dyDescent="0.3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</row>
    <row r="928" spans="1:28" ht="15.75" customHeight="1" x14ac:dyDescent="0.3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</row>
    <row r="929" spans="1:28" ht="15.75" customHeight="1" x14ac:dyDescent="0.3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</row>
    <row r="930" spans="1:28" ht="15.75" customHeight="1" x14ac:dyDescent="0.3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</row>
    <row r="931" spans="1:28" ht="15.75" customHeight="1" x14ac:dyDescent="0.3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</row>
    <row r="932" spans="1:28" ht="15.75" customHeight="1" x14ac:dyDescent="0.3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 spans="1:28" ht="15.75" customHeight="1" x14ac:dyDescent="0.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</row>
    <row r="934" spans="1:28" ht="15.75" customHeight="1" x14ac:dyDescent="0.3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</row>
    <row r="935" spans="1:28" ht="15.75" customHeight="1" x14ac:dyDescent="0.3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</row>
    <row r="936" spans="1:28" ht="15.75" customHeight="1" x14ac:dyDescent="0.3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</row>
    <row r="937" spans="1:28" ht="15.75" customHeight="1" x14ac:dyDescent="0.3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</row>
    <row r="938" spans="1:28" ht="15.75" customHeight="1" x14ac:dyDescent="0.3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</row>
    <row r="939" spans="1:28" ht="15.75" customHeight="1" x14ac:dyDescent="0.3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</row>
    <row r="940" spans="1:28" ht="15.75" customHeight="1" x14ac:dyDescent="0.3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</row>
    <row r="941" spans="1:28" ht="15.75" customHeight="1" x14ac:dyDescent="0.3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</row>
    <row r="942" spans="1:28" ht="15.75" customHeight="1" x14ac:dyDescent="0.3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</row>
    <row r="943" spans="1:28" ht="15.75" customHeight="1" x14ac:dyDescent="0.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</row>
    <row r="944" spans="1:28" ht="15.75" customHeight="1" x14ac:dyDescent="0.3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</row>
    <row r="945" spans="1:28" ht="15.75" customHeight="1" x14ac:dyDescent="0.3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</row>
    <row r="946" spans="1:28" ht="15.75" customHeight="1" x14ac:dyDescent="0.3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</row>
    <row r="947" spans="1:28" ht="15.75" customHeight="1" x14ac:dyDescent="0.3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</row>
    <row r="948" spans="1:28" ht="15.75" customHeight="1" x14ac:dyDescent="0.3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</row>
    <row r="949" spans="1:28" ht="15.75" customHeight="1" x14ac:dyDescent="0.3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</row>
    <row r="950" spans="1:28" ht="15.75" customHeight="1" x14ac:dyDescent="0.3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</row>
    <row r="951" spans="1:28" ht="15.75" customHeight="1" x14ac:dyDescent="0.3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</row>
    <row r="952" spans="1:28" ht="15.75" customHeight="1" x14ac:dyDescent="0.3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</row>
    <row r="953" spans="1:28" ht="15.75" customHeight="1" x14ac:dyDescent="0.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</row>
    <row r="954" spans="1:28" ht="15.75" customHeight="1" x14ac:dyDescent="0.3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</row>
    <row r="955" spans="1:28" ht="15.75" customHeight="1" x14ac:dyDescent="0.3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</row>
    <row r="956" spans="1:28" ht="15.75" customHeight="1" x14ac:dyDescent="0.3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</row>
    <row r="957" spans="1:28" ht="15.75" customHeight="1" x14ac:dyDescent="0.3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</row>
    <row r="958" spans="1:28" ht="15.75" customHeight="1" x14ac:dyDescent="0.3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</row>
    <row r="959" spans="1:28" ht="15.75" customHeight="1" x14ac:dyDescent="0.3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</row>
    <row r="960" spans="1:28" ht="15.75" customHeight="1" x14ac:dyDescent="0.3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</row>
    <row r="961" spans="1:28" ht="15.75" customHeight="1" x14ac:dyDescent="0.3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</row>
    <row r="962" spans="1:28" ht="15.75" customHeight="1" x14ac:dyDescent="0.3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</row>
    <row r="963" spans="1:28" ht="15.75" customHeight="1" x14ac:dyDescent="0.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</row>
    <row r="964" spans="1:28" ht="15.75" customHeight="1" x14ac:dyDescent="0.3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</row>
    <row r="965" spans="1:28" ht="15.75" customHeight="1" x14ac:dyDescent="0.3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</row>
    <row r="966" spans="1:28" ht="15.75" customHeight="1" x14ac:dyDescent="0.3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</row>
    <row r="967" spans="1:28" ht="15.75" customHeight="1" x14ac:dyDescent="0.3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</row>
    <row r="968" spans="1:28" ht="15.75" customHeight="1" x14ac:dyDescent="0.3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</row>
    <row r="969" spans="1:28" ht="15.75" customHeight="1" x14ac:dyDescent="0.3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</row>
    <row r="970" spans="1:28" ht="15.75" customHeight="1" x14ac:dyDescent="0.3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</row>
    <row r="971" spans="1:28" ht="15.75" customHeight="1" x14ac:dyDescent="0.3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</row>
    <row r="972" spans="1:28" ht="15.75" customHeight="1" x14ac:dyDescent="0.3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</row>
    <row r="973" spans="1:28" ht="15.75" customHeight="1" x14ac:dyDescent="0.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</row>
    <row r="974" spans="1:28" ht="15.75" customHeight="1" x14ac:dyDescent="0.3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</row>
    <row r="975" spans="1:28" ht="15.75" customHeight="1" x14ac:dyDescent="0.3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</row>
    <row r="976" spans="1:28" ht="15.75" customHeight="1" x14ac:dyDescent="0.3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</row>
    <row r="977" spans="1:28" ht="15.75" customHeight="1" x14ac:dyDescent="0.3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</row>
    <row r="978" spans="1:28" ht="15.75" customHeight="1" x14ac:dyDescent="0.3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</row>
    <row r="979" spans="1:28" ht="15.75" customHeight="1" x14ac:dyDescent="0.3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</row>
    <row r="980" spans="1:28" ht="15.75" customHeight="1" x14ac:dyDescent="0.3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</row>
    <row r="981" spans="1:28" ht="15.75" customHeight="1" x14ac:dyDescent="0.3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</row>
    <row r="982" spans="1:28" ht="15.75" customHeight="1" x14ac:dyDescent="0.3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</row>
    <row r="983" spans="1:28" ht="15.75" customHeight="1" x14ac:dyDescent="0.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</row>
    <row r="984" spans="1:28" ht="15.75" customHeight="1" x14ac:dyDescent="0.3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</row>
    <row r="985" spans="1:28" ht="15.75" customHeight="1" x14ac:dyDescent="0.3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</row>
    <row r="986" spans="1:28" ht="15.75" customHeight="1" x14ac:dyDescent="0.3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</row>
    <row r="987" spans="1:28" ht="15.75" customHeight="1" x14ac:dyDescent="0.3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</row>
    <row r="988" spans="1:28" ht="15.75" customHeight="1" x14ac:dyDescent="0.3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</row>
    <row r="989" spans="1:28" ht="15.75" customHeight="1" x14ac:dyDescent="0.3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</row>
    <row r="990" spans="1:28" ht="15.75" customHeight="1" x14ac:dyDescent="0.3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</row>
    <row r="991" spans="1:28" ht="15.75" customHeight="1" x14ac:dyDescent="0.3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</row>
    <row r="992" spans="1:28" ht="15.75" customHeight="1" x14ac:dyDescent="0.3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</row>
    <row r="993" spans="1:28" ht="15.75" customHeight="1" x14ac:dyDescent="0.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</row>
    <row r="994" spans="1:28" ht="15.75" customHeight="1" x14ac:dyDescent="0.3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</row>
    <row r="995" spans="1:28" ht="15.75" customHeight="1" x14ac:dyDescent="0.3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</row>
    <row r="996" spans="1:28" ht="15.75" customHeight="1" x14ac:dyDescent="0.3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</row>
    <row r="997" spans="1:28" ht="15.75" customHeight="1" x14ac:dyDescent="0.3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</row>
    <row r="998" spans="1:28" ht="15.75" customHeight="1" x14ac:dyDescent="0.3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</row>
    <row r="999" spans="1:28" ht="15.75" customHeight="1" x14ac:dyDescent="0.3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</row>
    <row r="1000" spans="1:28" ht="15.75" customHeight="1" x14ac:dyDescent="0.3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</row>
    <row r="1001" spans="1:28" ht="15.75" customHeight="1" x14ac:dyDescent="0.3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</row>
    <row r="1002" spans="1:28" ht="15.75" customHeight="1" x14ac:dyDescent="0.3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</row>
    <row r="1003" spans="1:28" ht="15.75" customHeight="1" x14ac:dyDescent="0.3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</row>
    <row r="1004" spans="1:28" ht="15.75" customHeight="1" x14ac:dyDescent="0.3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</row>
    <row r="1005" spans="1:28" ht="15.75" customHeight="1" x14ac:dyDescent="0.3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</row>
    <row r="1006" spans="1:28" ht="15.75" customHeight="1" x14ac:dyDescent="0.3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</row>
    <row r="1007" spans="1:28" ht="15.75" customHeight="1" x14ac:dyDescent="0.3">
      <c r="A1007" s="74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</row>
    <row r="1008" spans="1:28" ht="15.75" customHeight="1" x14ac:dyDescent="0.3">
      <c r="A1008" s="74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</row>
    <row r="1009" spans="1:28" ht="15.75" customHeight="1" x14ac:dyDescent="0.3">
      <c r="A1009" s="74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</row>
    <row r="1010" spans="1:28" ht="15.75" customHeight="1" x14ac:dyDescent="0.3">
      <c r="A1010" s="74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</row>
    <row r="1011" spans="1:28" ht="15.75" customHeight="1" x14ac:dyDescent="0.3">
      <c r="A1011" s="74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</row>
    <row r="1012" spans="1:28" ht="15.75" customHeight="1" x14ac:dyDescent="0.3">
      <c r="A1012" s="74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</row>
    <row r="1013" spans="1:28" ht="15.75" customHeight="1" x14ac:dyDescent="0.3">
      <c r="A1013" s="74"/>
      <c r="B1013" s="74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</row>
    <row r="1014" spans="1:28" ht="15.75" customHeight="1" x14ac:dyDescent="0.3">
      <c r="A1014" s="74"/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</row>
  </sheetData>
  <mergeCells count="24">
    <mergeCell ref="N44:O44"/>
    <mergeCell ref="P44:Q44"/>
    <mergeCell ref="B39:C39"/>
    <mergeCell ref="B44:C44"/>
    <mergeCell ref="D44:E44"/>
    <mergeCell ref="F44:G44"/>
    <mergeCell ref="J44:K44"/>
    <mergeCell ref="L44:M44"/>
    <mergeCell ref="B38:C38"/>
    <mergeCell ref="A8:Q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P10:Q10"/>
    <mergeCell ref="A33:P33"/>
    <mergeCell ref="B34:C34"/>
    <mergeCell ref="B36:C36"/>
    <mergeCell ref="B37:C37"/>
  </mergeCells>
  <pageMargins left="0.7" right="0.7" top="0.75" bottom="0.75" header="0" footer="0"/>
  <pageSetup paperSize="9" scale="8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AEB6-C824-419D-A30B-7AA595E2DB3B}">
  <dimension ref="A1:O1014"/>
  <sheetViews>
    <sheetView topLeftCell="A47" workbookViewId="0">
      <selection activeCell="F41" sqref="F41"/>
    </sheetView>
  </sheetViews>
  <sheetFormatPr baseColWidth="10" defaultColWidth="14.44140625" defaultRowHeight="15" customHeight="1" x14ac:dyDescent="0.3"/>
  <cols>
    <col min="1" max="1" width="45.6640625" style="168" customWidth="1"/>
    <col min="2" max="4" width="10.6640625" style="168" customWidth="1"/>
    <col min="5" max="5" width="15.5546875" style="168" customWidth="1"/>
    <col min="6" max="6" width="10.6640625" style="168" customWidth="1"/>
    <col min="7" max="7" width="15.109375" style="168" customWidth="1"/>
    <col min="8" max="8" width="10.6640625" style="168" customWidth="1"/>
    <col min="9" max="9" width="16.33203125" style="168" customWidth="1"/>
    <col min="10" max="10" width="10.6640625" style="168" customWidth="1"/>
    <col min="11" max="11" width="12.5546875" style="168" bestFit="1" customWidth="1"/>
    <col min="12" max="14" width="10.6640625" style="168" customWidth="1"/>
    <col min="15" max="15" width="17.5546875" style="168" customWidth="1"/>
    <col min="16" max="26" width="10.6640625" style="168" customWidth="1"/>
    <col min="27" max="16384" width="14.44140625" style="168"/>
  </cols>
  <sheetData>
    <row r="1" spans="1:15" x14ac:dyDescent="0.3">
      <c r="A1" s="1" t="s">
        <v>150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62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5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 x14ac:dyDescent="0.3">
      <c r="A6" s="5" t="s">
        <v>151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x14ac:dyDescent="0.3">
      <c r="A7" s="185" t="s">
        <v>152</v>
      </c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5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14.4" x14ac:dyDescent="0.3">
      <c r="A10" s="310" t="s">
        <v>6</v>
      </c>
      <c r="B10" s="311" t="s">
        <v>7</v>
      </c>
      <c r="C10" s="312" t="s">
        <v>8</v>
      </c>
      <c r="D10" s="309" t="s">
        <v>9</v>
      </c>
      <c r="E10" s="271"/>
      <c r="F10" s="307" t="s">
        <v>70</v>
      </c>
      <c r="G10" s="271"/>
      <c r="H10" s="309" t="s">
        <v>32</v>
      </c>
      <c r="I10" s="282"/>
      <c r="J10" s="307" t="s">
        <v>185</v>
      </c>
      <c r="K10" s="271"/>
      <c r="L10" s="307"/>
      <c r="M10" s="271"/>
      <c r="N10" s="307" t="s">
        <v>12</v>
      </c>
      <c r="O10" s="271"/>
    </row>
    <row r="11" spans="1:15" thickBot="1" x14ac:dyDescent="0.35">
      <c r="A11" s="294"/>
      <c r="B11" s="292"/>
      <c r="C11" s="292"/>
      <c r="D11" s="89" t="s">
        <v>13</v>
      </c>
      <c r="E11" s="90" t="s">
        <v>14</v>
      </c>
      <c r="F11" s="91" t="s">
        <v>13</v>
      </c>
      <c r="G11" s="90" t="s">
        <v>14</v>
      </c>
      <c r="H11" s="89" t="s">
        <v>13</v>
      </c>
      <c r="I11" s="92" t="s">
        <v>14</v>
      </c>
      <c r="J11" s="91" t="s">
        <v>13</v>
      </c>
      <c r="K11" s="90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</row>
    <row r="12" spans="1:15" ht="14.4" x14ac:dyDescent="0.3">
      <c r="A12" s="182" t="s">
        <v>133</v>
      </c>
      <c r="B12" s="225" t="s">
        <v>182</v>
      </c>
      <c r="C12" s="170">
        <v>1</v>
      </c>
      <c r="D12" s="197">
        <v>3791.61</v>
      </c>
      <c r="E12" s="198">
        <f t="shared" ref="E12:E41" si="0">D12*C12</f>
        <v>3791.61</v>
      </c>
      <c r="F12" s="199">
        <v>3729.28</v>
      </c>
      <c r="G12" s="97">
        <f t="shared" ref="G12:G20" si="1">C12*F12</f>
        <v>3729.28</v>
      </c>
      <c r="H12" s="200"/>
      <c r="I12" s="98">
        <f t="shared" ref="I12:I42" si="2">C12*H12</f>
        <v>0</v>
      </c>
      <c r="J12" s="199">
        <f>5800/1.21</f>
        <v>4793.3884297520663</v>
      </c>
      <c r="K12" s="97">
        <f t="shared" ref="K12:K42" si="3">C12*J12</f>
        <v>4793.3884297520663</v>
      </c>
      <c r="L12" s="199"/>
      <c r="M12" s="97">
        <f t="shared" ref="M12:M42" si="4">C12*L12</f>
        <v>0</v>
      </c>
      <c r="N12" s="99">
        <f t="shared" ref="N12:N42" si="5">MIN(D12,F12,H12,J12,L12)</f>
        <v>3729.28</v>
      </c>
      <c r="O12" s="188">
        <f t="shared" ref="O12:O42" si="6">N12*C12</f>
        <v>3729.28</v>
      </c>
    </row>
    <row r="13" spans="1:15" ht="14.4" x14ac:dyDescent="0.3">
      <c r="A13" s="181" t="s">
        <v>153</v>
      </c>
      <c r="B13" s="226" t="s">
        <v>182</v>
      </c>
      <c r="C13" s="170">
        <v>2</v>
      </c>
      <c r="D13" s="197">
        <v>706.08</v>
      </c>
      <c r="E13" s="198">
        <f t="shared" si="0"/>
        <v>1412.16</v>
      </c>
      <c r="F13" s="199">
        <v>607.71</v>
      </c>
      <c r="G13" s="97">
        <f t="shared" si="1"/>
        <v>1215.42</v>
      </c>
      <c r="H13" s="200"/>
      <c r="I13" s="98">
        <f t="shared" si="2"/>
        <v>0</v>
      </c>
      <c r="J13" s="199">
        <f>990/1.21</f>
        <v>818.18181818181824</v>
      </c>
      <c r="K13" s="97">
        <f t="shared" si="3"/>
        <v>1636.3636363636365</v>
      </c>
      <c r="L13" s="199"/>
      <c r="M13" s="97">
        <f t="shared" si="4"/>
        <v>0</v>
      </c>
      <c r="N13" s="99">
        <f t="shared" si="5"/>
        <v>607.71</v>
      </c>
      <c r="O13" s="188">
        <f t="shared" si="6"/>
        <v>1215.42</v>
      </c>
    </row>
    <row r="14" spans="1:15" ht="14.4" x14ac:dyDescent="0.3">
      <c r="A14" s="180" t="s">
        <v>154</v>
      </c>
      <c r="B14" s="226" t="s">
        <v>182</v>
      </c>
      <c r="C14" s="170">
        <v>1</v>
      </c>
      <c r="D14" s="197">
        <v>1534.52</v>
      </c>
      <c r="E14" s="198">
        <f t="shared" si="0"/>
        <v>1534.52</v>
      </c>
      <c r="F14" s="199">
        <v>1194.95</v>
      </c>
      <c r="G14" s="97">
        <f t="shared" si="1"/>
        <v>1194.95</v>
      </c>
      <c r="H14" s="200"/>
      <c r="I14" s="98">
        <f t="shared" si="2"/>
        <v>0</v>
      </c>
      <c r="J14" s="199">
        <f>1800/1.21</f>
        <v>1487.6033057851241</v>
      </c>
      <c r="K14" s="97">
        <f t="shared" si="3"/>
        <v>1487.6033057851241</v>
      </c>
      <c r="L14" s="199"/>
      <c r="M14" s="97">
        <f t="shared" si="4"/>
        <v>0</v>
      </c>
      <c r="N14" s="99">
        <f t="shared" si="5"/>
        <v>1194.95</v>
      </c>
      <c r="O14" s="188">
        <f t="shared" si="6"/>
        <v>1194.95</v>
      </c>
    </row>
    <row r="15" spans="1:15" ht="14.4" x14ac:dyDescent="0.3">
      <c r="A15" s="180" t="s">
        <v>155</v>
      </c>
      <c r="B15" s="226" t="s">
        <v>182</v>
      </c>
      <c r="C15" s="170">
        <v>1</v>
      </c>
      <c r="D15" s="197">
        <v>657.77</v>
      </c>
      <c r="E15" s="198">
        <f t="shared" si="0"/>
        <v>657.77</v>
      </c>
      <c r="F15" s="199">
        <v>621.57000000000005</v>
      </c>
      <c r="G15" s="97">
        <f t="shared" si="1"/>
        <v>621.57000000000005</v>
      </c>
      <c r="H15" s="200"/>
      <c r="I15" s="98">
        <f t="shared" si="2"/>
        <v>0</v>
      </c>
      <c r="J15" s="199">
        <f>1000/1.21</f>
        <v>826.44628099173553</v>
      </c>
      <c r="K15" s="97">
        <f t="shared" si="3"/>
        <v>826.44628099173553</v>
      </c>
      <c r="L15" s="199"/>
      <c r="M15" s="97">
        <f t="shared" si="4"/>
        <v>0</v>
      </c>
      <c r="N15" s="99">
        <f t="shared" si="5"/>
        <v>621.57000000000005</v>
      </c>
      <c r="O15" s="188">
        <f t="shared" si="6"/>
        <v>621.57000000000005</v>
      </c>
    </row>
    <row r="16" spans="1:15" ht="14.4" x14ac:dyDescent="0.3">
      <c r="A16" s="181" t="s">
        <v>156</v>
      </c>
      <c r="B16" s="226" t="s">
        <v>182</v>
      </c>
      <c r="C16" s="170">
        <v>2</v>
      </c>
      <c r="D16" s="197">
        <v>420.08</v>
      </c>
      <c r="E16" s="198">
        <f t="shared" si="0"/>
        <v>840.16</v>
      </c>
      <c r="F16" s="199">
        <v>343.34</v>
      </c>
      <c r="G16" s="97">
        <f t="shared" si="1"/>
        <v>686.68</v>
      </c>
      <c r="H16" s="200"/>
      <c r="I16" s="98">
        <f t="shared" si="2"/>
        <v>0</v>
      </c>
      <c r="J16" s="199">
        <f>550/1.21</f>
        <v>454.54545454545456</v>
      </c>
      <c r="K16" s="97">
        <f t="shared" si="3"/>
        <v>909.09090909090912</v>
      </c>
      <c r="L16" s="199"/>
      <c r="M16" s="97">
        <f t="shared" si="4"/>
        <v>0</v>
      </c>
      <c r="N16" s="99">
        <f t="shared" si="5"/>
        <v>343.34</v>
      </c>
      <c r="O16" s="188">
        <f t="shared" si="6"/>
        <v>686.68</v>
      </c>
    </row>
    <row r="17" spans="1:15" ht="14.4" x14ac:dyDescent="0.3">
      <c r="A17" s="181" t="s">
        <v>157</v>
      </c>
      <c r="B17" s="226" t="s">
        <v>182</v>
      </c>
      <c r="C17" s="170">
        <v>2</v>
      </c>
      <c r="D17" s="197">
        <v>872.27</v>
      </c>
      <c r="E17" s="198">
        <f t="shared" si="0"/>
        <v>1744.54</v>
      </c>
      <c r="F17" s="199">
        <v>825.52</v>
      </c>
      <c r="G17" s="97">
        <f t="shared" si="1"/>
        <v>1651.04</v>
      </c>
      <c r="H17" s="200"/>
      <c r="I17" s="98">
        <f t="shared" si="2"/>
        <v>0</v>
      </c>
      <c r="J17" s="199">
        <f>1290/1.21</f>
        <v>1066.1157024793388</v>
      </c>
      <c r="K17" s="97">
        <f t="shared" si="3"/>
        <v>2132.2314049586776</v>
      </c>
      <c r="L17" s="199"/>
      <c r="M17" s="97">
        <f t="shared" si="4"/>
        <v>0</v>
      </c>
      <c r="N17" s="99">
        <f t="shared" si="5"/>
        <v>825.52</v>
      </c>
      <c r="O17" s="188">
        <f t="shared" si="6"/>
        <v>1651.04</v>
      </c>
    </row>
    <row r="18" spans="1:15" ht="14.4" x14ac:dyDescent="0.3">
      <c r="A18" s="181" t="s">
        <v>158</v>
      </c>
      <c r="B18" s="226" t="s">
        <v>182</v>
      </c>
      <c r="C18" s="170">
        <v>1</v>
      </c>
      <c r="D18" s="197">
        <v>601.41</v>
      </c>
      <c r="E18" s="198">
        <f t="shared" si="0"/>
        <v>601.41</v>
      </c>
      <c r="F18" s="199">
        <v>491.4</v>
      </c>
      <c r="G18" s="97">
        <f t="shared" si="1"/>
        <v>491.4</v>
      </c>
      <c r="H18" s="200"/>
      <c r="I18" s="98">
        <f t="shared" si="2"/>
        <v>0</v>
      </c>
      <c r="J18" s="199">
        <f>800/1.21</f>
        <v>661.15702479338847</v>
      </c>
      <c r="K18" s="97">
        <f t="shared" si="3"/>
        <v>661.15702479338847</v>
      </c>
      <c r="L18" s="199"/>
      <c r="M18" s="97">
        <f t="shared" si="4"/>
        <v>0</v>
      </c>
      <c r="N18" s="99">
        <f t="shared" si="5"/>
        <v>491.4</v>
      </c>
      <c r="O18" s="188">
        <f t="shared" si="6"/>
        <v>491.4</v>
      </c>
    </row>
    <row r="19" spans="1:15" ht="14.4" x14ac:dyDescent="0.3">
      <c r="A19" s="181" t="s">
        <v>159</v>
      </c>
      <c r="B19" s="226" t="s">
        <v>182</v>
      </c>
      <c r="C19" s="170">
        <v>2</v>
      </c>
      <c r="D19" s="197">
        <v>489.87</v>
      </c>
      <c r="E19" s="198">
        <f t="shared" si="0"/>
        <v>979.74</v>
      </c>
      <c r="F19" s="199">
        <v>507</v>
      </c>
      <c r="G19" s="97">
        <f t="shared" si="1"/>
        <v>1014</v>
      </c>
      <c r="H19" s="200"/>
      <c r="I19" s="98">
        <f t="shared" si="2"/>
        <v>0</v>
      </c>
      <c r="J19" s="199">
        <f>800/1.21</f>
        <v>661.15702479338847</v>
      </c>
      <c r="K19" s="97">
        <f t="shared" si="3"/>
        <v>1322.3140495867769</v>
      </c>
      <c r="L19" s="199"/>
      <c r="M19" s="97">
        <f t="shared" si="4"/>
        <v>0</v>
      </c>
      <c r="N19" s="99">
        <f t="shared" si="5"/>
        <v>489.87</v>
      </c>
      <c r="O19" s="188">
        <f t="shared" si="6"/>
        <v>979.74</v>
      </c>
    </row>
    <row r="20" spans="1:15" ht="14.4" x14ac:dyDescent="0.3">
      <c r="A20" s="181" t="s">
        <v>160</v>
      </c>
      <c r="B20" s="226" t="s">
        <v>182</v>
      </c>
      <c r="C20" s="170">
        <v>2</v>
      </c>
      <c r="D20" s="197">
        <v>439.66</v>
      </c>
      <c r="E20" s="198">
        <f t="shared" si="0"/>
        <v>879.32</v>
      </c>
      <c r="F20" s="199">
        <v>371.37</v>
      </c>
      <c r="G20" s="97">
        <f t="shared" si="1"/>
        <v>742.74</v>
      </c>
      <c r="H20" s="200"/>
      <c r="I20" s="98">
        <f t="shared" si="2"/>
        <v>0</v>
      </c>
      <c r="J20" s="199">
        <f>580/1.12</f>
        <v>517.85714285714278</v>
      </c>
      <c r="K20" s="97">
        <f t="shared" si="3"/>
        <v>1035.7142857142856</v>
      </c>
      <c r="L20" s="199"/>
      <c r="M20" s="97">
        <f t="shared" si="4"/>
        <v>0</v>
      </c>
      <c r="N20" s="99">
        <f t="shared" si="5"/>
        <v>371.37</v>
      </c>
      <c r="O20" s="188">
        <f t="shared" si="6"/>
        <v>742.74</v>
      </c>
    </row>
    <row r="21" spans="1:15" ht="14.4" x14ac:dyDescent="0.3">
      <c r="A21" s="181" t="s">
        <v>161</v>
      </c>
      <c r="B21" s="226" t="s">
        <v>182</v>
      </c>
      <c r="C21" s="170">
        <v>1</v>
      </c>
      <c r="D21" s="197">
        <v>2183.13</v>
      </c>
      <c r="E21" s="198">
        <f t="shared" si="0"/>
        <v>2183.13</v>
      </c>
      <c r="F21" s="199">
        <v>3319.02</v>
      </c>
      <c r="G21" s="97">
        <f>C21*F21</f>
        <v>3319.02</v>
      </c>
      <c r="H21" s="200">
        <v>3736</v>
      </c>
      <c r="I21" s="98">
        <f t="shared" si="2"/>
        <v>3736</v>
      </c>
      <c r="J21" s="199">
        <f>8400/1.21</f>
        <v>6942.1487603305786</v>
      </c>
      <c r="K21" s="97">
        <f t="shared" si="3"/>
        <v>6942.1487603305786</v>
      </c>
      <c r="L21" s="199"/>
      <c r="M21" s="97">
        <f t="shared" si="4"/>
        <v>0</v>
      </c>
      <c r="N21" s="99">
        <f t="shared" si="5"/>
        <v>2183.13</v>
      </c>
      <c r="O21" s="188">
        <f t="shared" si="6"/>
        <v>2183.13</v>
      </c>
    </row>
    <row r="22" spans="1:15" ht="14.4" x14ac:dyDescent="0.3">
      <c r="A22" s="181" t="s">
        <v>162</v>
      </c>
      <c r="B22" s="226" t="s">
        <v>182</v>
      </c>
      <c r="C22" s="170">
        <v>2</v>
      </c>
      <c r="D22" s="197">
        <v>7717.96</v>
      </c>
      <c r="E22" s="198">
        <f t="shared" si="0"/>
        <v>15435.92</v>
      </c>
      <c r="F22" s="199">
        <v>3273.02</v>
      </c>
      <c r="G22" s="97">
        <f t="shared" ref="G22:G42" si="7">C22*F22</f>
        <v>6546.04</v>
      </c>
      <c r="H22" s="201"/>
      <c r="I22" s="98">
        <f t="shared" si="2"/>
        <v>0</v>
      </c>
      <c r="J22" s="199">
        <f>10700/1.21</f>
        <v>8842.9752066115707</v>
      </c>
      <c r="K22" s="97">
        <f t="shared" si="3"/>
        <v>17685.950413223141</v>
      </c>
      <c r="L22" s="199"/>
      <c r="M22" s="97">
        <f t="shared" si="4"/>
        <v>0</v>
      </c>
      <c r="N22" s="99">
        <f t="shared" si="5"/>
        <v>3273.02</v>
      </c>
      <c r="O22" s="188">
        <f t="shared" si="6"/>
        <v>6546.04</v>
      </c>
    </row>
    <row r="23" spans="1:15" ht="14.4" x14ac:dyDescent="0.3">
      <c r="A23" s="181" t="s">
        <v>163</v>
      </c>
      <c r="B23" s="226" t="s">
        <v>182</v>
      </c>
      <c r="C23" s="170">
        <v>2</v>
      </c>
      <c r="D23" s="197">
        <v>1473.91</v>
      </c>
      <c r="E23" s="198">
        <f t="shared" si="0"/>
        <v>2947.82</v>
      </c>
      <c r="F23" s="199">
        <v>786.11</v>
      </c>
      <c r="G23" s="97">
        <f t="shared" si="7"/>
        <v>1572.22</v>
      </c>
      <c r="H23" s="201"/>
      <c r="I23" s="98">
        <f t="shared" si="2"/>
        <v>0</v>
      </c>
      <c r="J23" s="199">
        <f>1500/1.21</f>
        <v>1239.6694214876034</v>
      </c>
      <c r="K23" s="97">
        <f t="shared" si="3"/>
        <v>2479.3388429752067</v>
      </c>
      <c r="L23" s="199"/>
      <c r="M23" s="97">
        <f t="shared" si="4"/>
        <v>0</v>
      </c>
      <c r="N23" s="99">
        <f t="shared" si="5"/>
        <v>786.11</v>
      </c>
      <c r="O23" s="188">
        <f t="shared" si="6"/>
        <v>1572.22</v>
      </c>
    </row>
    <row r="24" spans="1:15" ht="14.4" x14ac:dyDescent="0.3">
      <c r="A24" s="181" t="s">
        <v>164</v>
      </c>
      <c r="B24" s="226" t="s">
        <v>182</v>
      </c>
      <c r="C24" s="170">
        <v>14</v>
      </c>
      <c r="D24" s="197">
        <v>356.46</v>
      </c>
      <c r="E24" s="198">
        <f t="shared" si="0"/>
        <v>4990.4399999999996</v>
      </c>
      <c r="F24" s="199">
        <v>237.34</v>
      </c>
      <c r="G24" s="97">
        <f t="shared" si="7"/>
        <v>3322.76</v>
      </c>
      <c r="H24" s="201"/>
      <c r="I24" s="98">
        <f t="shared" si="2"/>
        <v>0</v>
      </c>
      <c r="J24" s="199">
        <f>420/1.21</f>
        <v>347.10743801652893</v>
      </c>
      <c r="K24" s="97">
        <f t="shared" si="3"/>
        <v>4859.5041322314046</v>
      </c>
      <c r="L24" s="199"/>
      <c r="M24" s="97">
        <f t="shared" si="4"/>
        <v>0</v>
      </c>
      <c r="N24" s="99">
        <f t="shared" si="5"/>
        <v>237.34</v>
      </c>
      <c r="O24" s="188">
        <f t="shared" si="6"/>
        <v>3322.76</v>
      </c>
    </row>
    <row r="25" spans="1:15" ht="14.4" x14ac:dyDescent="0.3">
      <c r="A25" s="181" t="s">
        <v>165</v>
      </c>
      <c r="B25" s="226" t="s">
        <v>182</v>
      </c>
      <c r="C25" s="170">
        <v>10</v>
      </c>
      <c r="D25" s="197">
        <v>211.48</v>
      </c>
      <c r="E25" s="198">
        <f t="shared" si="0"/>
        <v>2114.7999999999997</v>
      </c>
      <c r="F25" s="199">
        <v>142.55000000000001</v>
      </c>
      <c r="G25" s="97">
        <f t="shared" si="7"/>
        <v>1425.5</v>
      </c>
      <c r="H25" s="201"/>
      <c r="I25" s="98">
        <f t="shared" si="2"/>
        <v>0</v>
      </c>
      <c r="J25" s="199">
        <f>250/1.21</f>
        <v>206.61157024793388</v>
      </c>
      <c r="K25" s="97">
        <f t="shared" si="3"/>
        <v>2066.1157024793388</v>
      </c>
      <c r="L25" s="199"/>
      <c r="M25" s="97">
        <f t="shared" si="4"/>
        <v>0</v>
      </c>
      <c r="N25" s="99">
        <f t="shared" si="5"/>
        <v>142.55000000000001</v>
      </c>
      <c r="O25" s="188">
        <f t="shared" si="6"/>
        <v>1425.5</v>
      </c>
    </row>
    <row r="26" spans="1:15" ht="14.4" x14ac:dyDescent="0.3">
      <c r="A26" s="181" t="s">
        <v>166</v>
      </c>
      <c r="B26" s="226" t="s">
        <v>182</v>
      </c>
      <c r="C26" s="170">
        <v>4</v>
      </c>
      <c r="D26" s="197">
        <v>270.18</v>
      </c>
      <c r="E26" s="198">
        <f t="shared" si="0"/>
        <v>1080.72</v>
      </c>
      <c r="F26" s="199">
        <v>182.24</v>
      </c>
      <c r="G26" s="97">
        <f t="shared" si="7"/>
        <v>728.96</v>
      </c>
      <c r="H26" s="201"/>
      <c r="I26" s="98">
        <f t="shared" si="2"/>
        <v>0</v>
      </c>
      <c r="J26" s="199">
        <f>330/1.21</f>
        <v>272.72727272727275</v>
      </c>
      <c r="K26" s="97">
        <f t="shared" si="3"/>
        <v>1090.909090909091</v>
      </c>
      <c r="L26" s="199"/>
      <c r="M26" s="97">
        <f t="shared" si="4"/>
        <v>0</v>
      </c>
      <c r="N26" s="99">
        <f t="shared" si="5"/>
        <v>182.24</v>
      </c>
      <c r="O26" s="188">
        <f t="shared" si="6"/>
        <v>728.96</v>
      </c>
    </row>
    <row r="27" spans="1:15" ht="14.4" x14ac:dyDescent="0.3">
      <c r="A27" s="181" t="s">
        <v>167</v>
      </c>
      <c r="B27" s="226" t="s">
        <v>182</v>
      </c>
      <c r="C27" s="170">
        <v>1</v>
      </c>
      <c r="D27" s="197">
        <v>7717.26</v>
      </c>
      <c r="E27" s="198">
        <f t="shared" si="0"/>
        <v>7717.26</v>
      </c>
      <c r="F27" s="199">
        <v>3273.02</v>
      </c>
      <c r="G27" s="97">
        <f t="shared" si="7"/>
        <v>3273.02</v>
      </c>
      <c r="H27" s="201"/>
      <c r="I27" s="98">
        <f t="shared" si="2"/>
        <v>0</v>
      </c>
      <c r="J27" s="199">
        <f>10700/1.21</f>
        <v>8842.9752066115707</v>
      </c>
      <c r="K27" s="97">
        <f t="shared" si="3"/>
        <v>8842.9752066115707</v>
      </c>
      <c r="L27" s="199"/>
      <c r="M27" s="97">
        <f t="shared" si="4"/>
        <v>0</v>
      </c>
      <c r="N27" s="99">
        <f t="shared" si="5"/>
        <v>3273.02</v>
      </c>
      <c r="O27" s="188">
        <f t="shared" si="6"/>
        <v>3273.02</v>
      </c>
    </row>
    <row r="28" spans="1:15" ht="14.4" x14ac:dyDescent="0.3">
      <c r="A28" s="181" t="s">
        <v>168</v>
      </c>
      <c r="B28" s="226" t="s">
        <v>182</v>
      </c>
      <c r="C28" s="170">
        <v>1</v>
      </c>
      <c r="D28" s="197">
        <v>16733.37</v>
      </c>
      <c r="E28" s="198">
        <f t="shared" si="0"/>
        <v>16733.37</v>
      </c>
      <c r="F28" s="199">
        <v>7904.04</v>
      </c>
      <c r="G28" s="97">
        <f t="shared" si="7"/>
        <v>7904.04</v>
      </c>
      <c r="H28" s="201"/>
      <c r="I28" s="98">
        <f t="shared" si="2"/>
        <v>0</v>
      </c>
      <c r="J28" s="199">
        <f>11000/1.21</f>
        <v>9090.9090909090919</v>
      </c>
      <c r="K28" s="97">
        <f t="shared" si="3"/>
        <v>9090.9090909090919</v>
      </c>
      <c r="L28" s="199"/>
      <c r="M28" s="97">
        <f t="shared" si="4"/>
        <v>0</v>
      </c>
      <c r="N28" s="99">
        <f t="shared" si="5"/>
        <v>7904.04</v>
      </c>
      <c r="O28" s="188">
        <f t="shared" si="6"/>
        <v>7904.04</v>
      </c>
    </row>
    <row r="29" spans="1:15" ht="15.75" customHeight="1" x14ac:dyDescent="0.3">
      <c r="A29" s="181" t="s">
        <v>169</v>
      </c>
      <c r="B29" s="226" t="s">
        <v>182</v>
      </c>
      <c r="C29" s="170">
        <v>1</v>
      </c>
      <c r="D29" s="197">
        <v>1056.1099999999999</v>
      </c>
      <c r="E29" s="198">
        <f t="shared" si="0"/>
        <v>1056.1099999999999</v>
      </c>
      <c r="F29" s="199">
        <v>877.64</v>
      </c>
      <c r="G29" s="97">
        <f t="shared" si="7"/>
        <v>877.64</v>
      </c>
      <c r="H29" s="200"/>
      <c r="I29" s="98">
        <f t="shared" si="2"/>
        <v>0</v>
      </c>
      <c r="J29" s="199">
        <f>1700/1.21</f>
        <v>1404.9586776859505</v>
      </c>
      <c r="K29" s="97">
        <f t="shared" si="3"/>
        <v>1404.9586776859505</v>
      </c>
      <c r="L29" s="199"/>
      <c r="M29" s="97">
        <f t="shared" si="4"/>
        <v>0</v>
      </c>
      <c r="N29" s="99">
        <f t="shared" si="5"/>
        <v>877.64</v>
      </c>
      <c r="O29" s="188">
        <f t="shared" si="6"/>
        <v>877.64</v>
      </c>
    </row>
    <row r="30" spans="1:15" ht="15.75" customHeight="1" x14ac:dyDescent="0.3">
      <c r="A30" s="181" t="s">
        <v>170</v>
      </c>
      <c r="B30" s="226" t="s">
        <v>182</v>
      </c>
      <c r="C30" s="170">
        <v>1</v>
      </c>
      <c r="D30" s="197">
        <v>1521.48</v>
      </c>
      <c r="E30" s="198">
        <f t="shared" si="0"/>
        <v>1521.48</v>
      </c>
      <c r="F30" s="199">
        <v>1663.28</v>
      </c>
      <c r="G30" s="97">
        <f t="shared" si="7"/>
        <v>1663.28</v>
      </c>
      <c r="H30" s="200"/>
      <c r="I30" s="98">
        <f t="shared" si="2"/>
        <v>0</v>
      </c>
      <c r="J30" s="199">
        <f>2600/1.21</f>
        <v>2148.7603305785124</v>
      </c>
      <c r="K30" s="97">
        <f t="shared" si="3"/>
        <v>2148.7603305785124</v>
      </c>
      <c r="L30" s="199"/>
      <c r="M30" s="97">
        <f t="shared" si="4"/>
        <v>0</v>
      </c>
      <c r="N30" s="99">
        <f t="shared" si="5"/>
        <v>1521.48</v>
      </c>
      <c r="O30" s="188">
        <f t="shared" si="6"/>
        <v>1521.48</v>
      </c>
    </row>
    <row r="31" spans="1:15" ht="15.75" customHeight="1" x14ac:dyDescent="0.3">
      <c r="A31" s="181" t="s">
        <v>171</v>
      </c>
      <c r="B31" s="226" t="s">
        <v>182</v>
      </c>
      <c r="C31" s="170">
        <v>5</v>
      </c>
      <c r="D31" s="197">
        <v>9113.31</v>
      </c>
      <c r="E31" s="198">
        <f t="shared" si="0"/>
        <v>45566.549999999996</v>
      </c>
      <c r="F31" s="199">
        <v>3693.44</v>
      </c>
      <c r="G31" s="97">
        <f t="shared" si="7"/>
        <v>18467.2</v>
      </c>
      <c r="H31" s="201"/>
      <c r="I31" s="98">
        <f t="shared" si="2"/>
        <v>0</v>
      </c>
      <c r="J31" s="199">
        <f>2380/1.21</f>
        <v>1966.9421487603306</v>
      </c>
      <c r="K31" s="97">
        <f t="shared" si="3"/>
        <v>9834.7107438016537</v>
      </c>
      <c r="L31" s="199"/>
      <c r="M31" s="97">
        <f t="shared" si="4"/>
        <v>0</v>
      </c>
      <c r="N31" s="99">
        <f t="shared" si="5"/>
        <v>1966.9421487603306</v>
      </c>
      <c r="O31" s="188">
        <f t="shared" si="6"/>
        <v>9834.7107438016537</v>
      </c>
    </row>
    <row r="32" spans="1:15" ht="15.75" customHeight="1" x14ac:dyDescent="0.3">
      <c r="A32" s="181" t="s">
        <v>172</v>
      </c>
      <c r="B32" s="226" t="s">
        <v>182</v>
      </c>
      <c r="C32" s="170">
        <v>1</v>
      </c>
      <c r="D32" s="197">
        <v>2149.9699999999998</v>
      </c>
      <c r="E32" s="198">
        <f t="shared" si="0"/>
        <v>2149.9699999999998</v>
      </c>
      <c r="F32" s="199">
        <v>1182.3</v>
      </c>
      <c r="G32" s="97">
        <f t="shared" si="7"/>
        <v>1182.3</v>
      </c>
      <c r="H32" s="201"/>
      <c r="I32" s="98">
        <f t="shared" si="2"/>
        <v>0</v>
      </c>
      <c r="J32" s="199">
        <f>1700/1.21</f>
        <v>1404.9586776859505</v>
      </c>
      <c r="K32" s="97">
        <f t="shared" si="3"/>
        <v>1404.9586776859505</v>
      </c>
      <c r="L32" s="199"/>
      <c r="M32" s="97">
        <f t="shared" si="4"/>
        <v>0</v>
      </c>
      <c r="N32" s="99">
        <f t="shared" si="5"/>
        <v>1182.3</v>
      </c>
      <c r="O32" s="188">
        <f t="shared" si="6"/>
        <v>1182.3</v>
      </c>
    </row>
    <row r="33" spans="1:15" ht="15.75" customHeight="1" x14ac:dyDescent="0.3">
      <c r="A33" s="181" t="s">
        <v>173</v>
      </c>
      <c r="B33" s="226" t="s">
        <v>182</v>
      </c>
      <c r="C33" s="170">
        <v>1</v>
      </c>
      <c r="D33" s="197">
        <v>962.09</v>
      </c>
      <c r="E33" s="198">
        <f t="shared" si="0"/>
        <v>962.09</v>
      </c>
      <c r="F33" s="199">
        <v>4518.17</v>
      </c>
      <c r="G33" s="97">
        <f t="shared" si="7"/>
        <v>4518.17</v>
      </c>
      <c r="H33" s="201"/>
      <c r="I33" s="98">
        <f t="shared" si="2"/>
        <v>0</v>
      </c>
      <c r="J33" s="199">
        <f>1800/1.21</f>
        <v>1487.6033057851241</v>
      </c>
      <c r="K33" s="97">
        <f t="shared" si="3"/>
        <v>1487.6033057851241</v>
      </c>
      <c r="L33" s="199"/>
      <c r="M33" s="97">
        <f t="shared" si="4"/>
        <v>0</v>
      </c>
      <c r="N33" s="99">
        <f t="shared" si="5"/>
        <v>962.09</v>
      </c>
      <c r="O33" s="188">
        <f t="shared" si="6"/>
        <v>962.09</v>
      </c>
    </row>
    <row r="34" spans="1:15" ht="15.75" customHeight="1" x14ac:dyDescent="0.3">
      <c r="A34" s="181" t="s">
        <v>174</v>
      </c>
      <c r="B34" s="226" t="s">
        <v>182</v>
      </c>
      <c r="C34" s="170">
        <v>1</v>
      </c>
      <c r="D34" s="197">
        <v>639.20000000000005</v>
      </c>
      <c r="E34" s="198">
        <f t="shared" si="0"/>
        <v>639.20000000000005</v>
      </c>
      <c r="F34" s="199">
        <v>926.2</v>
      </c>
      <c r="G34" s="97">
        <f t="shared" si="7"/>
        <v>926.2</v>
      </c>
      <c r="H34" s="201"/>
      <c r="I34" s="98">
        <f t="shared" si="2"/>
        <v>0</v>
      </c>
      <c r="J34" s="199">
        <f>1500/1.21</f>
        <v>1239.6694214876034</v>
      </c>
      <c r="K34" s="97">
        <f t="shared" si="3"/>
        <v>1239.6694214876034</v>
      </c>
      <c r="L34" s="199"/>
      <c r="M34" s="97">
        <f t="shared" si="4"/>
        <v>0</v>
      </c>
      <c r="N34" s="99">
        <f t="shared" si="5"/>
        <v>639.20000000000005</v>
      </c>
      <c r="O34" s="188">
        <f t="shared" si="6"/>
        <v>639.20000000000005</v>
      </c>
    </row>
    <row r="35" spans="1:15" ht="15.75" customHeight="1" x14ac:dyDescent="0.3">
      <c r="A35" s="181" t="s">
        <v>175</v>
      </c>
      <c r="B35" s="226" t="s">
        <v>182</v>
      </c>
      <c r="C35" s="170">
        <v>1</v>
      </c>
      <c r="D35" s="197">
        <v>9427.01</v>
      </c>
      <c r="E35" s="198">
        <f t="shared" si="0"/>
        <v>9427.01</v>
      </c>
      <c r="F35" s="199">
        <v>5599.94</v>
      </c>
      <c r="G35" s="97">
        <f t="shared" si="7"/>
        <v>5599.94</v>
      </c>
      <c r="H35" s="201"/>
      <c r="I35" s="98">
        <f t="shared" si="2"/>
        <v>0</v>
      </c>
      <c r="J35" s="199">
        <f>18000/1.21</f>
        <v>14876.03305785124</v>
      </c>
      <c r="K35" s="97">
        <f t="shared" si="3"/>
        <v>14876.03305785124</v>
      </c>
      <c r="L35" s="199"/>
      <c r="M35" s="97">
        <f t="shared" si="4"/>
        <v>0</v>
      </c>
      <c r="N35" s="99">
        <f t="shared" si="5"/>
        <v>5599.94</v>
      </c>
      <c r="O35" s="188">
        <f t="shared" si="6"/>
        <v>5599.94</v>
      </c>
    </row>
    <row r="36" spans="1:15" ht="15.75" customHeight="1" x14ac:dyDescent="0.3">
      <c r="A36" s="181" t="s">
        <v>176</v>
      </c>
      <c r="B36" s="226" t="s">
        <v>182</v>
      </c>
      <c r="C36" s="170">
        <v>1</v>
      </c>
      <c r="D36" s="197">
        <v>3460.26</v>
      </c>
      <c r="E36" s="198">
        <f t="shared" si="0"/>
        <v>3460.26</v>
      </c>
      <c r="F36" s="199">
        <v>3444.3</v>
      </c>
      <c r="G36" s="97">
        <f t="shared" si="7"/>
        <v>3444.3</v>
      </c>
      <c r="H36" s="201">
        <v>4949</v>
      </c>
      <c r="I36" s="98">
        <f t="shared" si="2"/>
        <v>4949</v>
      </c>
      <c r="J36" s="199">
        <f>5400/1.21</f>
        <v>4462.8099173553719</v>
      </c>
      <c r="K36" s="97">
        <f t="shared" si="3"/>
        <v>4462.8099173553719</v>
      </c>
      <c r="L36" s="199"/>
      <c r="M36" s="97">
        <f t="shared" si="4"/>
        <v>0</v>
      </c>
      <c r="N36" s="99">
        <f t="shared" si="5"/>
        <v>3444.3</v>
      </c>
      <c r="O36" s="188">
        <f t="shared" si="6"/>
        <v>3444.3</v>
      </c>
    </row>
    <row r="37" spans="1:15" ht="15.75" customHeight="1" x14ac:dyDescent="0.3">
      <c r="A37" s="181" t="s">
        <v>177</v>
      </c>
      <c r="B37" s="226" t="s">
        <v>182</v>
      </c>
      <c r="C37" s="170">
        <v>1</v>
      </c>
      <c r="D37" s="197">
        <v>1909.24</v>
      </c>
      <c r="E37" s="198">
        <f t="shared" si="0"/>
        <v>1909.24</v>
      </c>
      <c r="F37" s="199">
        <v>613.66</v>
      </c>
      <c r="G37" s="97">
        <f t="shared" si="7"/>
        <v>613.66</v>
      </c>
      <c r="H37" s="200"/>
      <c r="I37" s="98">
        <f t="shared" si="2"/>
        <v>0</v>
      </c>
      <c r="J37" s="199">
        <f>1000/1.21</f>
        <v>826.44628099173553</v>
      </c>
      <c r="K37" s="97">
        <f t="shared" si="3"/>
        <v>826.44628099173553</v>
      </c>
      <c r="L37" s="199"/>
      <c r="M37" s="97">
        <f t="shared" si="4"/>
        <v>0</v>
      </c>
      <c r="N37" s="99">
        <f t="shared" si="5"/>
        <v>613.66</v>
      </c>
      <c r="O37" s="188">
        <f>N37*C37</f>
        <v>613.66</v>
      </c>
    </row>
    <row r="38" spans="1:15" ht="15.75" customHeight="1" x14ac:dyDescent="0.3">
      <c r="A38" s="181" t="s">
        <v>178</v>
      </c>
      <c r="B38" s="226" t="s">
        <v>182</v>
      </c>
      <c r="C38" s="170">
        <v>3</v>
      </c>
      <c r="D38" s="197">
        <v>4110.83</v>
      </c>
      <c r="E38" s="198">
        <f t="shared" si="0"/>
        <v>12332.49</v>
      </c>
      <c r="F38" s="199">
        <v>461.71</v>
      </c>
      <c r="G38" s="97">
        <f t="shared" si="7"/>
        <v>1385.1299999999999</v>
      </c>
      <c r="H38" s="200">
        <v>1136</v>
      </c>
      <c r="I38" s="98">
        <f t="shared" si="2"/>
        <v>3408</v>
      </c>
      <c r="J38" s="199">
        <f>1350/1.21</f>
        <v>1115.702479338843</v>
      </c>
      <c r="K38" s="97">
        <f t="shared" si="3"/>
        <v>3347.1074380165292</v>
      </c>
      <c r="L38" s="199"/>
      <c r="M38" s="97">
        <f t="shared" si="4"/>
        <v>0</v>
      </c>
      <c r="N38" s="99">
        <f t="shared" si="5"/>
        <v>461.71</v>
      </c>
      <c r="O38" s="188">
        <f t="shared" si="6"/>
        <v>1385.1299999999999</v>
      </c>
    </row>
    <row r="39" spans="1:15" ht="15.75" customHeight="1" x14ac:dyDescent="0.3">
      <c r="A39" s="181" t="s">
        <v>179</v>
      </c>
      <c r="B39" s="226" t="s">
        <v>182</v>
      </c>
      <c r="C39" s="170">
        <v>20</v>
      </c>
      <c r="D39" s="197">
        <v>54.4</v>
      </c>
      <c r="E39" s="198">
        <f t="shared" si="0"/>
        <v>1088</v>
      </c>
      <c r="F39" s="199">
        <v>78.400000000000006</v>
      </c>
      <c r="G39" s="97">
        <f t="shared" si="7"/>
        <v>1568</v>
      </c>
      <c r="H39" s="200">
        <v>141.6</v>
      </c>
      <c r="I39" s="98">
        <f t="shared" si="2"/>
        <v>2832</v>
      </c>
      <c r="J39" s="199">
        <f>200/1.21</f>
        <v>165.28925619834712</v>
      </c>
      <c r="K39" s="97">
        <f t="shared" si="3"/>
        <v>3305.7851239669426</v>
      </c>
      <c r="L39" s="199"/>
      <c r="M39" s="97">
        <f t="shared" si="4"/>
        <v>0</v>
      </c>
      <c r="N39" s="99">
        <f t="shared" si="5"/>
        <v>54.4</v>
      </c>
      <c r="O39" s="188">
        <f t="shared" si="6"/>
        <v>1088</v>
      </c>
    </row>
    <row r="40" spans="1:15" ht="15.75" customHeight="1" x14ac:dyDescent="0.3">
      <c r="A40" s="181" t="s">
        <v>180</v>
      </c>
      <c r="B40" s="226" t="s">
        <v>182</v>
      </c>
      <c r="C40" s="170">
        <v>8</v>
      </c>
      <c r="D40" s="197">
        <v>227.86</v>
      </c>
      <c r="E40" s="198">
        <f t="shared" si="0"/>
        <v>1822.88</v>
      </c>
      <c r="F40" s="199">
        <v>116.6</v>
      </c>
      <c r="G40" s="97">
        <f t="shared" si="7"/>
        <v>932.8</v>
      </c>
      <c r="H40" s="200"/>
      <c r="I40" s="98">
        <f t="shared" si="2"/>
        <v>0</v>
      </c>
      <c r="J40" s="199">
        <f>160/1.21</f>
        <v>132.2314049586777</v>
      </c>
      <c r="K40" s="97">
        <f t="shared" si="3"/>
        <v>1057.8512396694216</v>
      </c>
      <c r="L40" s="199"/>
      <c r="M40" s="97">
        <f t="shared" si="4"/>
        <v>0</v>
      </c>
      <c r="N40" s="99">
        <f t="shared" si="5"/>
        <v>116.6</v>
      </c>
      <c r="O40" s="188">
        <f t="shared" si="6"/>
        <v>932.8</v>
      </c>
    </row>
    <row r="41" spans="1:15" ht="15.75" customHeight="1" x14ac:dyDescent="0.3">
      <c r="A41" s="183" t="s">
        <v>181</v>
      </c>
      <c r="B41" s="226" t="s">
        <v>182</v>
      </c>
      <c r="C41" s="170">
        <v>16</v>
      </c>
      <c r="D41" s="197">
        <v>1009.8</v>
      </c>
      <c r="E41" s="198">
        <f t="shared" si="0"/>
        <v>16156.8</v>
      </c>
      <c r="F41" s="220">
        <v>712.36</v>
      </c>
      <c r="G41" s="97">
        <f t="shared" si="7"/>
        <v>11397.76</v>
      </c>
      <c r="H41" s="203"/>
      <c r="I41" s="98">
        <f t="shared" si="2"/>
        <v>0</v>
      </c>
      <c r="J41" s="220">
        <f>1000/1.21</f>
        <v>826.44628099173553</v>
      </c>
      <c r="K41" s="97">
        <f t="shared" si="3"/>
        <v>13223.140495867769</v>
      </c>
      <c r="L41" s="202"/>
      <c r="M41" s="97">
        <f t="shared" si="4"/>
        <v>0</v>
      </c>
      <c r="N41" s="99">
        <f t="shared" si="5"/>
        <v>712.36</v>
      </c>
      <c r="O41" s="188">
        <f t="shared" si="6"/>
        <v>11397.76</v>
      </c>
    </row>
    <row r="42" spans="1:15" ht="15.75" customHeight="1" thickBot="1" x14ac:dyDescent="0.35">
      <c r="A42" s="184" t="s">
        <v>183</v>
      </c>
      <c r="B42" s="221" t="s">
        <v>182</v>
      </c>
      <c r="C42" s="210">
        <v>16</v>
      </c>
      <c r="D42" s="211"/>
      <c r="E42" s="222"/>
      <c r="F42" s="223">
        <v>29.93</v>
      </c>
      <c r="G42" s="214">
        <f t="shared" si="7"/>
        <v>478.88</v>
      </c>
      <c r="H42" s="224"/>
      <c r="I42" s="216">
        <f t="shared" si="2"/>
        <v>0</v>
      </c>
      <c r="J42" s="223">
        <f>1000/1.21</f>
        <v>826.44628099173553</v>
      </c>
      <c r="K42" s="214">
        <f t="shared" si="3"/>
        <v>13223.140495867769</v>
      </c>
      <c r="L42" s="223"/>
      <c r="M42" s="214">
        <f t="shared" si="4"/>
        <v>0</v>
      </c>
      <c r="N42" s="218">
        <f t="shared" si="5"/>
        <v>29.93</v>
      </c>
      <c r="O42" s="219">
        <f t="shared" si="6"/>
        <v>478.88</v>
      </c>
    </row>
    <row r="43" spans="1:15" ht="15.75" customHeight="1" thickBot="1" x14ac:dyDescent="0.35">
      <c r="A43" s="272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4"/>
    </row>
    <row r="44" spans="1:15" ht="15.75" customHeight="1" thickBot="1" x14ac:dyDescent="0.35">
      <c r="A44" s="32" t="s">
        <v>17</v>
      </c>
      <c r="B44" s="274"/>
      <c r="C44" s="275"/>
      <c r="D44" s="118"/>
      <c r="E44" s="119">
        <f>SUM(E12:E41)</f>
        <v>163736.76999999996</v>
      </c>
      <c r="F44" s="33"/>
      <c r="G44" s="120">
        <f>+SUM(G12:G42)</f>
        <v>92493.900000000009</v>
      </c>
      <c r="H44" s="33"/>
      <c r="I44" s="120">
        <f>+SUM(I13:I43)</f>
        <v>14925</v>
      </c>
      <c r="J44" s="33"/>
      <c r="K44" s="120">
        <f>+SUM(K12:K42)</f>
        <v>139705.1357733176</v>
      </c>
      <c r="L44" s="33"/>
      <c r="M44" s="120">
        <f>+SUM(M13:M43)</f>
        <v>0</v>
      </c>
      <c r="N44" s="36"/>
      <c r="O44" s="120">
        <f>+SUM(O13:O43)</f>
        <v>74497.100743801668</v>
      </c>
    </row>
    <row r="45" spans="1:15" ht="15.75" customHeight="1" thickBot="1" x14ac:dyDescent="0.35">
      <c r="A45" s="37"/>
      <c r="B45" s="38"/>
      <c r="C45" s="38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</row>
    <row r="46" spans="1:15" ht="15.75" customHeight="1" x14ac:dyDescent="0.3">
      <c r="A46" s="40" t="s">
        <v>18</v>
      </c>
      <c r="B46" s="276"/>
      <c r="C46" s="271"/>
      <c r="D46" s="122">
        <v>0</v>
      </c>
      <c r="E46" s="123">
        <f>+E44*D46</f>
        <v>0</v>
      </c>
      <c r="F46" s="41">
        <v>0</v>
      </c>
      <c r="G46" s="124">
        <f>+G44*F46</f>
        <v>0</v>
      </c>
      <c r="H46" s="41">
        <v>0</v>
      </c>
      <c r="I46" s="124">
        <f>+I44*H46</f>
        <v>0</v>
      </c>
      <c r="J46" s="41">
        <v>0</v>
      </c>
      <c r="K46" s="124">
        <f>+K44*J46</f>
        <v>0</v>
      </c>
      <c r="L46" s="41">
        <v>0</v>
      </c>
      <c r="M46" s="124">
        <f>+M44*L46</f>
        <v>0</v>
      </c>
      <c r="N46" s="125"/>
      <c r="O46" s="124">
        <f>+O44*N46</f>
        <v>0</v>
      </c>
    </row>
    <row r="47" spans="1:15" ht="15.75" customHeight="1" x14ac:dyDescent="0.3">
      <c r="A47" s="45" t="s">
        <v>19</v>
      </c>
      <c r="B47" s="277">
        <v>1</v>
      </c>
      <c r="C47" s="278"/>
      <c r="D47" s="126"/>
      <c r="E47" s="127"/>
      <c r="F47" s="126"/>
      <c r="G47" s="128"/>
      <c r="H47" s="126"/>
      <c r="I47" s="128"/>
      <c r="J47" s="126"/>
      <c r="K47" s="128"/>
      <c r="L47" s="126"/>
      <c r="M47" s="128"/>
      <c r="N47" s="129"/>
      <c r="O47" s="128"/>
    </row>
    <row r="48" spans="1:15" ht="15.75" customHeight="1" x14ac:dyDescent="0.3">
      <c r="A48" s="45" t="s">
        <v>20</v>
      </c>
      <c r="B48" s="277"/>
      <c r="C48" s="278"/>
      <c r="D48" s="126"/>
      <c r="E48" s="127">
        <f>+E44-E46</f>
        <v>163736.76999999996</v>
      </c>
      <c r="F48" s="126"/>
      <c r="G48" s="128">
        <f>+G44-G46</f>
        <v>92493.900000000009</v>
      </c>
      <c r="H48" s="126"/>
      <c r="I48" s="128">
        <f>+I44-I46</f>
        <v>14925</v>
      </c>
      <c r="J48" s="126"/>
      <c r="K48" s="128">
        <f>+K44-K46</f>
        <v>139705.1357733176</v>
      </c>
      <c r="L48" s="126"/>
      <c r="M48" s="128">
        <f>+M44-M46</f>
        <v>0</v>
      </c>
      <c r="N48" s="129"/>
      <c r="O48" s="128">
        <f>+O44-O46</f>
        <v>74497.100743801668</v>
      </c>
    </row>
    <row r="49" spans="1:15" ht="15.75" customHeight="1" x14ac:dyDescent="0.3">
      <c r="A49" s="45" t="s">
        <v>21</v>
      </c>
      <c r="B49" s="279">
        <v>0.21</v>
      </c>
      <c r="C49" s="278"/>
      <c r="D49" s="126"/>
      <c r="E49" s="127">
        <f>(+E48)*B49</f>
        <v>34384.721699999987</v>
      </c>
      <c r="F49" s="126"/>
      <c r="G49" s="128">
        <f>(+G48)*B49</f>
        <v>19423.719000000001</v>
      </c>
      <c r="H49" s="126"/>
      <c r="I49" s="128">
        <f>(+I48)*B49</f>
        <v>3134.25</v>
      </c>
      <c r="J49" s="126"/>
      <c r="K49" s="128">
        <f>(+K48)*B49</f>
        <v>29338.078512396696</v>
      </c>
      <c r="L49" s="126"/>
      <c r="M49" s="128">
        <f>(+M48)*B49</f>
        <v>0</v>
      </c>
      <c r="N49" s="129"/>
      <c r="O49" s="128">
        <f>O48*B49</f>
        <v>15644.39115619835</v>
      </c>
    </row>
    <row r="50" spans="1:15" ht="15.75" customHeight="1" x14ac:dyDescent="0.3">
      <c r="A50" s="50" t="s">
        <v>22</v>
      </c>
      <c r="B50" s="51"/>
      <c r="C50" s="52"/>
      <c r="D50" s="130"/>
      <c r="E50" s="131">
        <v>2619.79</v>
      </c>
      <c r="F50" s="130"/>
      <c r="G50" s="132">
        <v>1479.9</v>
      </c>
      <c r="H50" s="130"/>
      <c r="I50" s="132"/>
      <c r="J50" s="130"/>
      <c r="K50" s="132"/>
      <c r="L50" s="130"/>
      <c r="M50" s="132"/>
      <c r="N50" s="133"/>
      <c r="O50" s="132"/>
    </row>
    <row r="51" spans="1:15" ht="15.75" customHeight="1" thickBot="1" x14ac:dyDescent="0.35">
      <c r="A51" s="57" t="s">
        <v>45</v>
      </c>
      <c r="B51" s="58"/>
      <c r="C51" s="59"/>
      <c r="D51" s="134"/>
      <c r="E51" s="135"/>
      <c r="F51" s="134"/>
      <c r="G51" s="136"/>
      <c r="H51" s="134"/>
      <c r="I51" s="136"/>
      <c r="J51" s="134"/>
      <c r="K51" s="136"/>
      <c r="L51" s="134"/>
      <c r="M51" s="136"/>
      <c r="N51" s="137"/>
      <c r="O51" s="136"/>
    </row>
    <row r="52" spans="1:15" ht="15.75" customHeight="1" thickBot="1" x14ac:dyDescent="0.35">
      <c r="A52" s="37"/>
      <c r="B52" s="38"/>
      <c r="C52" s="38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</row>
    <row r="53" spans="1:15" ht="15.75" customHeight="1" thickBot="1" x14ac:dyDescent="0.35">
      <c r="A53" s="189" t="s">
        <v>23</v>
      </c>
      <c r="B53" s="190"/>
      <c r="C53" s="191"/>
      <c r="D53" s="192"/>
      <c r="E53" s="193">
        <f>+E48+E49+E51+E50</f>
        <v>200741.28169999996</v>
      </c>
      <c r="F53" s="194"/>
      <c r="G53" s="193">
        <f>+G48+G49+G51+G50</f>
        <v>113397.519</v>
      </c>
      <c r="H53" s="194"/>
      <c r="I53" s="193">
        <f>+I48+I49+I51+I50</f>
        <v>18059.25</v>
      </c>
      <c r="J53" s="194"/>
      <c r="K53" s="193">
        <f>+K48+K49+K51+K50</f>
        <v>169043.21428571429</v>
      </c>
      <c r="L53" s="192"/>
      <c r="M53" s="196">
        <f>+M48+M49+M51+M50</f>
        <v>0</v>
      </c>
      <c r="N53" s="192"/>
      <c r="O53" s="193">
        <f>SUM(O48:O51)</f>
        <v>90141.491900000023</v>
      </c>
    </row>
    <row r="54" spans="1:15" ht="15.75" customHeight="1" thickBot="1" x14ac:dyDescent="0.35">
      <c r="A54" s="73" t="s">
        <v>24</v>
      </c>
      <c r="B54" s="280"/>
      <c r="C54" s="269"/>
      <c r="D54" s="266"/>
      <c r="E54" s="269"/>
      <c r="F54" s="266"/>
      <c r="G54" s="269"/>
      <c r="H54" s="266"/>
      <c r="I54" s="269"/>
      <c r="J54" s="289"/>
      <c r="K54" s="269"/>
      <c r="L54" s="289"/>
      <c r="M54" s="269"/>
      <c r="N54" s="308"/>
      <c r="O54" s="269"/>
    </row>
    <row r="55" spans="1:15" ht="15.75" customHeight="1" x14ac:dyDescent="0.3"/>
    <row r="56" spans="1:15" ht="15.75" customHeight="1" x14ac:dyDescent="0.3"/>
    <row r="57" spans="1:15" ht="15.75" customHeight="1" x14ac:dyDescent="0.3"/>
    <row r="58" spans="1:15" ht="15.75" customHeight="1" x14ac:dyDescent="0.3"/>
    <row r="59" spans="1:15" ht="15.75" customHeight="1" x14ac:dyDescent="0.3"/>
    <row r="60" spans="1:15" ht="15.75" customHeight="1" x14ac:dyDescent="0.3"/>
    <row r="61" spans="1:15" ht="15.75" customHeight="1" x14ac:dyDescent="0.3"/>
    <row r="62" spans="1:15" ht="15.75" customHeight="1" x14ac:dyDescent="0.3"/>
    <row r="63" spans="1:15" ht="15.75" customHeight="1" x14ac:dyDescent="0.3"/>
    <row r="64" spans="1:1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</sheetData>
  <mergeCells count="23">
    <mergeCell ref="N54:O54"/>
    <mergeCell ref="B54:C54"/>
    <mergeCell ref="D54:E54"/>
    <mergeCell ref="F54:G54"/>
    <mergeCell ref="H54:I54"/>
    <mergeCell ref="J54:K54"/>
    <mergeCell ref="L54:M54"/>
    <mergeCell ref="B49:C49"/>
    <mergeCell ref="A8:O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A43:N43"/>
    <mergeCell ref="B44:C44"/>
    <mergeCell ref="B46:C46"/>
    <mergeCell ref="B47:C47"/>
    <mergeCell ref="B48:C48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15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62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5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 x14ac:dyDescent="0.3">
      <c r="A6" s="5" t="s">
        <v>4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5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14.4" x14ac:dyDescent="0.3">
      <c r="A10" s="310" t="s">
        <v>6</v>
      </c>
      <c r="B10" s="311" t="s">
        <v>7</v>
      </c>
      <c r="C10" s="312" t="s">
        <v>8</v>
      </c>
      <c r="D10" s="309"/>
      <c r="E10" s="271"/>
      <c r="F10" s="307"/>
      <c r="G10" s="271"/>
      <c r="H10" s="309"/>
      <c r="I10" s="282"/>
      <c r="J10" s="307"/>
      <c r="K10" s="271"/>
      <c r="L10" s="307"/>
      <c r="M10" s="271"/>
      <c r="N10" s="307" t="s">
        <v>12</v>
      </c>
      <c r="O10" s="271"/>
    </row>
    <row r="11" spans="1:15" ht="14.4" x14ac:dyDescent="0.3">
      <c r="A11" s="294"/>
      <c r="B11" s="292"/>
      <c r="C11" s="292"/>
      <c r="D11" s="89" t="s">
        <v>13</v>
      </c>
      <c r="E11" s="90" t="s">
        <v>14</v>
      </c>
      <c r="F11" s="91" t="s">
        <v>13</v>
      </c>
      <c r="G11" s="90" t="s">
        <v>14</v>
      </c>
      <c r="H11" s="89" t="s">
        <v>13</v>
      </c>
      <c r="I11" s="92" t="s">
        <v>14</v>
      </c>
      <c r="J11" s="91" t="s">
        <v>13</v>
      </c>
      <c r="K11" s="90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</row>
    <row r="12" spans="1:15" ht="14.4" x14ac:dyDescent="0.3">
      <c r="A12" s="93"/>
      <c r="B12" s="12"/>
      <c r="C12" s="13"/>
      <c r="D12" s="94"/>
      <c r="E12" s="95">
        <f t="shared" ref="E12:E27" si="0">D12*C12</f>
        <v>0</v>
      </c>
      <c r="F12" s="96"/>
      <c r="G12" s="97">
        <f t="shared" ref="G12:G24" si="1">C12*F12</f>
        <v>0</v>
      </c>
      <c r="H12" s="94"/>
      <c r="I12" s="98">
        <f t="shared" ref="I12:I22" si="2">C12*H12</f>
        <v>0</v>
      </c>
      <c r="J12" s="96"/>
      <c r="K12" s="97">
        <f t="shared" ref="K12:K25" si="3">C12*J12</f>
        <v>0</v>
      </c>
      <c r="L12" s="96"/>
      <c r="M12" s="97">
        <f t="shared" ref="M12:M24" si="4">C12*L12</f>
        <v>0</v>
      </c>
      <c r="N12" s="99">
        <f t="shared" ref="N12:N27" si="5">MIN(D12,F12,H12,J12,L12)</f>
        <v>0</v>
      </c>
      <c r="O12" s="100">
        <f t="shared" ref="O12:O22" si="6">N12*C12</f>
        <v>0</v>
      </c>
    </row>
    <row r="13" spans="1:15" ht="14.4" x14ac:dyDescent="0.3">
      <c r="A13" s="101"/>
      <c r="B13" s="12"/>
      <c r="C13" s="13"/>
      <c r="D13" s="94"/>
      <c r="E13" s="95">
        <f t="shared" si="0"/>
        <v>0</v>
      </c>
      <c r="F13" s="96"/>
      <c r="G13" s="97">
        <f t="shared" si="1"/>
        <v>0</v>
      </c>
      <c r="H13" s="94"/>
      <c r="I13" s="98">
        <f t="shared" si="2"/>
        <v>0</v>
      </c>
      <c r="J13" s="96"/>
      <c r="K13" s="97">
        <f t="shared" si="3"/>
        <v>0</v>
      </c>
      <c r="L13" s="96"/>
      <c r="M13" s="97">
        <f t="shared" si="4"/>
        <v>0</v>
      </c>
      <c r="N13" s="99">
        <f t="shared" si="5"/>
        <v>0</v>
      </c>
      <c r="O13" s="100">
        <f t="shared" si="6"/>
        <v>0</v>
      </c>
    </row>
    <row r="14" spans="1:15" ht="14.4" x14ac:dyDescent="0.3">
      <c r="A14" s="101"/>
      <c r="B14" s="12"/>
      <c r="C14" s="13"/>
      <c r="D14" s="94"/>
      <c r="E14" s="95">
        <f t="shared" si="0"/>
        <v>0</v>
      </c>
      <c r="F14" s="96"/>
      <c r="G14" s="97">
        <f t="shared" si="1"/>
        <v>0</v>
      </c>
      <c r="H14" s="94"/>
      <c r="I14" s="98">
        <f t="shared" si="2"/>
        <v>0</v>
      </c>
      <c r="J14" s="96"/>
      <c r="K14" s="97">
        <f t="shared" si="3"/>
        <v>0</v>
      </c>
      <c r="L14" s="96"/>
      <c r="M14" s="97">
        <f t="shared" si="4"/>
        <v>0</v>
      </c>
      <c r="N14" s="99">
        <f t="shared" si="5"/>
        <v>0</v>
      </c>
      <c r="O14" s="100">
        <f t="shared" si="6"/>
        <v>0</v>
      </c>
    </row>
    <row r="15" spans="1:15" ht="14.4" x14ac:dyDescent="0.3">
      <c r="A15" s="93"/>
      <c r="B15" s="12"/>
      <c r="C15" s="13"/>
      <c r="D15" s="94"/>
      <c r="E15" s="95">
        <f t="shared" si="0"/>
        <v>0</v>
      </c>
      <c r="F15" s="96"/>
      <c r="G15" s="97">
        <f t="shared" si="1"/>
        <v>0</v>
      </c>
      <c r="H15" s="94"/>
      <c r="I15" s="98">
        <f t="shared" si="2"/>
        <v>0</v>
      </c>
      <c r="J15" s="96"/>
      <c r="K15" s="97">
        <f t="shared" si="3"/>
        <v>0</v>
      </c>
      <c r="L15" s="96"/>
      <c r="M15" s="97">
        <f t="shared" si="4"/>
        <v>0</v>
      </c>
      <c r="N15" s="99">
        <f t="shared" si="5"/>
        <v>0</v>
      </c>
      <c r="O15" s="100">
        <f t="shared" si="6"/>
        <v>0</v>
      </c>
    </row>
    <row r="16" spans="1:15" ht="14.4" x14ac:dyDescent="0.3">
      <c r="A16" s="93"/>
      <c r="B16" s="12"/>
      <c r="C16" s="13"/>
      <c r="D16" s="94"/>
      <c r="E16" s="95">
        <f t="shared" si="0"/>
        <v>0</v>
      </c>
      <c r="F16" s="96"/>
      <c r="G16" s="97">
        <f t="shared" si="1"/>
        <v>0</v>
      </c>
      <c r="H16" s="94"/>
      <c r="I16" s="98">
        <f t="shared" si="2"/>
        <v>0</v>
      </c>
      <c r="J16" s="96"/>
      <c r="K16" s="97">
        <f t="shared" si="3"/>
        <v>0</v>
      </c>
      <c r="L16" s="96"/>
      <c r="M16" s="97">
        <f t="shared" si="4"/>
        <v>0</v>
      </c>
      <c r="N16" s="99">
        <f t="shared" si="5"/>
        <v>0</v>
      </c>
      <c r="O16" s="100">
        <f t="shared" si="6"/>
        <v>0</v>
      </c>
    </row>
    <row r="17" spans="1:15" ht="14.4" x14ac:dyDescent="0.3">
      <c r="A17" s="93"/>
      <c r="B17" s="12"/>
      <c r="C17" s="13"/>
      <c r="D17" s="94"/>
      <c r="E17" s="95">
        <f t="shared" si="0"/>
        <v>0</v>
      </c>
      <c r="F17" s="96"/>
      <c r="G17" s="97">
        <f t="shared" si="1"/>
        <v>0</v>
      </c>
      <c r="H17" s="94"/>
      <c r="I17" s="98">
        <f t="shared" si="2"/>
        <v>0</v>
      </c>
      <c r="J17" s="96"/>
      <c r="K17" s="97">
        <f t="shared" si="3"/>
        <v>0</v>
      </c>
      <c r="L17" s="96"/>
      <c r="M17" s="97">
        <f t="shared" si="4"/>
        <v>0</v>
      </c>
      <c r="N17" s="99">
        <f t="shared" si="5"/>
        <v>0</v>
      </c>
      <c r="O17" s="100">
        <f t="shared" si="6"/>
        <v>0</v>
      </c>
    </row>
    <row r="18" spans="1:15" ht="14.4" x14ac:dyDescent="0.3">
      <c r="A18" s="93"/>
      <c r="B18" s="12"/>
      <c r="C18" s="13"/>
      <c r="D18" s="94"/>
      <c r="E18" s="95">
        <f t="shared" si="0"/>
        <v>0</v>
      </c>
      <c r="F18" s="96"/>
      <c r="G18" s="97">
        <f t="shared" si="1"/>
        <v>0</v>
      </c>
      <c r="H18" s="94"/>
      <c r="I18" s="98">
        <f t="shared" si="2"/>
        <v>0</v>
      </c>
      <c r="J18" s="96"/>
      <c r="K18" s="97">
        <f t="shared" si="3"/>
        <v>0</v>
      </c>
      <c r="L18" s="96"/>
      <c r="M18" s="97">
        <f t="shared" si="4"/>
        <v>0</v>
      </c>
      <c r="N18" s="99">
        <f t="shared" si="5"/>
        <v>0</v>
      </c>
      <c r="O18" s="100">
        <f t="shared" si="6"/>
        <v>0</v>
      </c>
    </row>
    <row r="19" spans="1:15" ht="14.4" x14ac:dyDescent="0.3">
      <c r="A19" s="93"/>
      <c r="B19" s="12"/>
      <c r="C19" s="13"/>
      <c r="D19" s="94"/>
      <c r="E19" s="95">
        <f t="shared" si="0"/>
        <v>0</v>
      </c>
      <c r="F19" s="96"/>
      <c r="G19" s="97">
        <f t="shared" si="1"/>
        <v>0</v>
      </c>
      <c r="H19" s="94"/>
      <c r="I19" s="98">
        <f t="shared" si="2"/>
        <v>0</v>
      </c>
      <c r="J19" s="96"/>
      <c r="K19" s="97">
        <f t="shared" si="3"/>
        <v>0</v>
      </c>
      <c r="L19" s="96"/>
      <c r="M19" s="97">
        <f t="shared" si="4"/>
        <v>0</v>
      </c>
      <c r="N19" s="99">
        <f t="shared" si="5"/>
        <v>0</v>
      </c>
      <c r="O19" s="100">
        <f t="shared" si="6"/>
        <v>0</v>
      </c>
    </row>
    <row r="20" spans="1:15" ht="14.4" x14ac:dyDescent="0.3">
      <c r="A20" s="93"/>
      <c r="B20" s="12"/>
      <c r="C20" s="13"/>
      <c r="D20" s="94"/>
      <c r="E20" s="95">
        <f t="shared" si="0"/>
        <v>0</v>
      </c>
      <c r="F20" s="96"/>
      <c r="G20" s="97">
        <f t="shared" si="1"/>
        <v>0</v>
      </c>
      <c r="H20" s="94"/>
      <c r="I20" s="98">
        <f t="shared" si="2"/>
        <v>0</v>
      </c>
      <c r="J20" s="96"/>
      <c r="K20" s="97">
        <f t="shared" si="3"/>
        <v>0</v>
      </c>
      <c r="L20" s="96"/>
      <c r="M20" s="97">
        <f t="shared" si="4"/>
        <v>0</v>
      </c>
      <c r="N20" s="99">
        <f t="shared" si="5"/>
        <v>0</v>
      </c>
      <c r="O20" s="100">
        <f t="shared" si="6"/>
        <v>0</v>
      </c>
    </row>
    <row r="21" spans="1:15" ht="15.75" customHeight="1" x14ac:dyDescent="0.3">
      <c r="A21" s="93"/>
      <c r="B21" s="12"/>
      <c r="C21" s="13"/>
      <c r="D21" s="94"/>
      <c r="E21" s="95">
        <f t="shared" si="0"/>
        <v>0</v>
      </c>
      <c r="F21" s="96"/>
      <c r="G21" s="97">
        <f t="shared" si="1"/>
        <v>0</v>
      </c>
      <c r="H21" s="94"/>
      <c r="I21" s="98">
        <f t="shared" si="2"/>
        <v>0</v>
      </c>
      <c r="J21" s="96"/>
      <c r="K21" s="97">
        <f t="shared" si="3"/>
        <v>0</v>
      </c>
      <c r="L21" s="96"/>
      <c r="M21" s="97">
        <f t="shared" si="4"/>
        <v>0</v>
      </c>
      <c r="N21" s="99">
        <f t="shared" si="5"/>
        <v>0</v>
      </c>
      <c r="O21" s="100">
        <f t="shared" si="6"/>
        <v>0</v>
      </c>
    </row>
    <row r="22" spans="1:15" ht="15.75" customHeight="1" x14ac:dyDescent="0.3">
      <c r="A22" s="93"/>
      <c r="B22" s="12"/>
      <c r="C22" s="13"/>
      <c r="D22" s="94"/>
      <c r="E22" s="95">
        <f t="shared" si="0"/>
        <v>0</v>
      </c>
      <c r="F22" s="96"/>
      <c r="G22" s="97">
        <f t="shared" si="1"/>
        <v>0</v>
      </c>
      <c r="H22" s="94"/>
      <c r="I22" s="98">
        <f t="shared" si="2"/>
        <v>0</v>
      </c>
      <c r="J22" s="96"/>
      <c r="K22" s="97">
        <f t="shared" si="3"/>
        <v>0</v>
      </c>
      <c r="L22" s="96"/>
      <c r="M22" s="97">
        <f t="shared" si="4"/>
        <v>0</v>
      </c>
      <c r="N22" s="99">
        <f t="shared" si="5"/>
        <v>0</v>
      </c>
      <c r="O22" s="100">
        <f t="shared" si="6"/>
        <v>0</v>
      </c>
    </row>
    <row r="23" spans="1:15" ht="15.75" customHeight="1" x14ac:dyDescent="0.3">
      <c r="A23" s="93"/>
      <c r="B23" s="12"/>
      <c r="C23" s="13"/>
      <c r="D23" s="94"/>
      <c r="E23" s="95">
        <f t="shared" si="0"/>
        <v>0</v>
      </c>
      <c r="F23" s="96"/>
      <c r="G23" s="97">
        <f t="shared" si="1"/>
        <v>0</v>
      </c>
      <c r="H23" s="94"/>
      <c r="I23" s="98"/>
      <c r="J23" s="96"/>
      <c r="K23" s="97">
        <f t="shared" si="3"/>
        <v>0</v>
      </c>
      <c r="L23" s="96"/>
      <c r="M23" s="97">
        <f t="shared" si="4"/>
        <v>0</v>
      </c>
      <c r="N23" s="99">
        <f t="shared" si="5"/>
        <v>0</v>
      </c>
      <c r="O23" s="100"/>
    </row>
    <row r="24" spans="1:15" ht="15.75" customHeight="1" x14ac:dyDescent="0.3">
      <c r="A24" s="93"/>
      <c r="B24" s="12"/>
      <c r="C24" s="13"/>
      <c r="D24" s="94"/>
      <c r="E24" s="95">
        <f t="shared" si="0"/>
        <v>0</v>
      </c>
      <c r="F24" s="96"/>
      <c r="G24" s="97">
        <f t="shared" si="1"/>
        <v>0</v>
      </c>
      <c r="H24" s="94"/>
      <c r="I24" s="98"/>
      <c r="J24" s="96"/>
      <c r="K24" s="97">
        <f t="shared" si="3"/>
        <v>0</v>
      </c>
      <c r="L24" s="96"/>
      <c r="M24" s="97">
        <f t="shared" si="4"/>
        <v>0</v>
      </c>
      <c r="N24" s="99">
        <f t="shared" si="5"/>
        <v>0</v>
      </c>
      <c r="O24" s="100"/>
    </row>
    <row r="25" spans="1:15" ht="15.75" customHeight="1" x14ac:dyDescent="0.3">
      <c r="A25" s="93"/>
      <c r="B25" s="12"/>
      <c r="C25" s="13"/>
      <c r="D25" s="94"/>
      <c r="E25" s="95">
        <f t="shared" si="0"/>
        <v>0</v>
      </c>
      <c r="F25" s="96"/>
      <c r="G25" s="97"/>
      <c r="H25" s="94"/>
      <c r="I25" s="98"/>
      <c r="J25" s="96"/>
      <c r="K25" s="97">
        <f t="shared" si="3"/>
        <v>0</v>
      </c>
      <c r="L25" s="96"/>
      <c r="M25" s="97"/>
      <c r="N25" s="99">
        <f t="shared" si="5"/>
        <v>0</v>
      </c>
      <c r="O25" s="100"/>
    </row>
    <row r="26" spans="1:15" ht="15.75" customHeight="1" x14ac:dyDescent="0.3">
      <c r="A26" s="93"/>
      <c r="B26" s="12"/>
      <c r="C26" s="13"/>
      <c r="D26" s="94"/>
      <c r="E26" s="95">
        <f t="shared" si="0"/>
        <v>0</v>
      </c>
      <c r="F26" s="96"/>
      <c r="G26" s="97"/>
      <c r="H26" s="94"/>
      <c r="I26" s="98"/>
      <c r="J26" s="96"/>
      <c r="K26" s="97"/>
      <c r="L26" s="96"/>
      <c r="M26" s="97"/>
      <c r="N26" s="99">
        <f t="shared" si="5"/>
        <v>0</v>
      </c>
      <c r="O26" s="100"/>
    </row>
    <row r="27" spans="1:15" ht="15.75" customHeight="1" x14ac:dyDescent="0.3">
      <c r="A27" s="102"/>
      <c r="B27" s="103"/>
      <c r="C27" s="103"/>
      <c r="D27" s="104"/>
      <c r="E27" s="95">
        <f t="shared" si="0"/>
        <v>0</v>
      </c>
      <c r="F27" s="105"/>
      <c r="G27" s="106"/>
      <c r="H27" s="104"/>
      <c r="I27" s="107"/>
      <c r="J27" s="105"/>
      <c r="K27" s="106"/>
      <c r="L27" s="105"/>
      <c r="M27" s="106"/>
      <c r="N27" s="99">
        <f t="shared" si="5"/>
        <v>0</v>
      </c>
      <c r="O27" s="108"/>
    </row>
    <row r="28" spans="1:15" ht="15.75" customHeight="1" x14ac:dyDescent="0.3">
      <c r="A28" s="109"/>
      <c r="B28" s="110"/>
      <c r="C28" s="25"/>
      <c r="D28" s="111"/>
      <c r="E28" s="112"/>
      <c r="F28" s="113"/>
      <c r="G28" s="114"/>
      <c r="H28" s="111"/>
      <c r="I28" s="115"/>
      <c r="J28" s="113"/>
      <c r="K28" s="114"/>
      <c r="L28" s="113"/>
      <c r="M28" s="114"/>
      <c r="N28" s="116"/>
      <c r="O28" s="117"/>
    </row>
    <row r="29" spans="1:15" ht="15.75" customHeight="1" x14ac:dyDescent="0.3">
      <c r="A29" s="272" t="s">
        <v>66</v>
      </c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4"/>
    </row>
    <row r="30" spans="1:15" ht="15.75" customHeight="1" x14ac:dyDescent="0.3">
      <c r="A30" s="32" t="s">
        <v>17</v>
      </c>
      <c r="B30" s="274"/>
      <c r="C30" s="275"/>
      <c r="D30" s="118"/>
      <c r="E30" s="119">
        <f>+SUM(E12:E28)</f>
        <v>0</v>
      </c>
      <c r="F30" s="33"/>
      <c r="G30" s="120">
        <f>+SUM(G12:G28)</f>
        <v>0</v>
      </c>
      <c r="H30" s="33"/>
      <c r="I30" s="120">
        <f>+SUM(I12:I29)</f>
        <v>0</v>
      </c>
      <c r="J30" s="33"/>
      <c r="K30" s="120">
        <f>+SUM(K12:K28)</f>
        <v>0</v>
      </c>
      <c r="L30" s="33"/>
      <c r="M30" s="120">
        <f>+SUM(M12:M29)</f>
        <v>0</v>
      </c>
      <c r="N30" s="36"/>
      <c r="O30" s="120">
        <f>+SUM(O12:O29)</f>
        <v>0</v>
      </c>
    </row>
    <row r="31" spans="1:15" ht="15.75" customHeight="1" x14ac:dyDescent="0.3">
      <c r="A31" s="37"/>
      <c r="B31" s="38"/>
      <c r="C31" s="38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</row>
    <row r="32" spans="1:15" ht="15.75" customHeight="1" x14ac:dyDescent="0.3">
      <c r="A32" s="40" t="s">
        <v>18</v>
      </c>
      <c r="B32" s="276"/>
      <c r="C32" s="271"/>
      <c r="D32" s="122">
        <v>0</v>
      </c>
      <c r="E32" s="123">
        <f>+E30*D32</f>
        <v>0</v>
      </c>
      <c r="F32" s="41">
        <v>0</v>
      </c>
      <c r="G32" s="124">
        <f>+G30*F32</f>
        <v>0</v>
      </c>
      <c r="H32" s="41">
        <v>0</v>
      </c>
      <c r="I32" s="124">
        <f>+I30*H32</f>
        <v>0</v>
      </c>
      <c r="J32" s="41">
        <v>0</v>
      </c>
      <c r="K32" s="124">
        <f>+K30*J32</f>
        <v>0</v>
      </c>
      <c r="L32" s="41">
        <v>0</v>
      </c>
      <c r="M32" s="124">
        <f>+M30*L32</f>
        <v>0</v>
      </c>
      <c r="N32" s="125"/>
      <c r="O32" s="124">
        <f>+O30*N32</f>
        <v>0</v>
      </c>
    </row>
    <row r="33" spans="1:15" ht="15.75" customHeight="1" x14ac:dyDescent="0.3">
      <c r="A33" s="45" t="s">
        <v>19</v>
      </c>
      <c r="B33" s="277">
        <v>1</v>
      </c>
      <c r="C33" s="278"/>
      <c r="D33" s="126"/>
      <c r="E33" s="127"/>
      <c r="F33" s="126"/>
      <c r="G33" s="128"/>
      <c r="H33" s="126"/>
      <c r="I33" s="128"/>
      <c r="J33" s="126"/>
      <c r="K33" s="128"/>
      <c r="L33" s="126"/>
      <c r="M33" s="128"/>
      <c r="N33" s="129"/>
      <c r="O33" s="128"/>
    </row>
    <row r="34" spans="1:15" ht="15.75" customHeight="1" x14ac:dyDescent="0.3">
      <c r="A34" s="45" t="s">
        <v>20</v>
      </c>
      <c r="B34" s="277"/>
      <c r="C34" s="278"/>
      <c r="D34" s="126"/>
      <c r="E34" s="127">
        <f>+E30-E32</f>
        <v>0</v>
      </c>
      <c r="F34" s="126"/>
      <c r="G34" s="128">
        <f>+G30-G32</f>
        <v>0</v>
      </c>
      <c r="H34" s="126"/>
      <c r="I34" s="128">
        <f>+I30-I32</f>
        <v>0</v>
      </c>
      <c r="J34" s="126"/>
      <c r="K34" s="128">
        <f>+K30-K32</f>
        <v>0</v>
      </c>
      <c r="L34" s="126"/>
      <c r="M34" s="128">
        <f>+M30-M32</f>
        <v>0</v>
      </c>
      <c r="N34" s="129"/>
      <c r="O34" s="128">
        <f>+O30-O32</f>
        <v>0</v>
      </c>
    </row>
    <row r="35" spans="1:15" ht="15.75" customHeight="1" x14ac:dyDescent="0.3">
      <c r="A35" s="45" t="s">
        <v>21</v>
      </c>
      <c r="B35" s="279">
        <v>0.21</v>
      </c>
      <c r="C35" s="278"/>
      <c r="D35" s="126"/>
      <c r="E35" s="127">
        <f>(+E34)*B35</f>
        <v>0</v>
      </c>
      <c r="F35" s="126"/>
      <c r="G35" s="128">
        <f>(+G34)*B35</f>
        <v>0</v>
      </c>
      <c r="H35" s="126"/>
      <c r="I35" s="128">
        <f>(+I34)*B35</f>
        <v>0</v>
      </c>
      <c r="J35" s="126"/>
      <c r="K35" s="128">
        <f>(+K34)*B35</f>
        <v>0</v>
      </c>
      <c r="L35" s="126"/>
      <c r="M35" s="128">
        <f>(+M34)*B35</f>
        <v>0</v>
      </c>
      <c r="N35" s="129"/>
      <c r="O35" s="128">
        <f>O34*B35</f>
        <v>0</v>
      </c>
    </row>
    <row r="36" spans="1:15" ht="15.75" customHeight="1" x14ac:dyDescent="0.3">
      <c r="A36" s="50" t="s">
        <v>22</v>
      </c>
      <c r="B36" s="51"/>
      <c r="C36" s="52"/>
      <c r="D36" s="130"/>
      <c r="E36" s="131"/>
      <c r="F36" s="130"/>
      <c r="G36" s="132"/>
      <c r="H36" s="130"/>
      <c r="I36" s="132"/>
      <c r="J36" s="130"/>
      <c r="K36" s="132"/>
      <c r="L36" s="130"/>
      <c r="M36" s="132"/>
      <c r="N36" s="133"/>
      <c r="O36" s="132"/>
    </row>
    <row r="37" spans="1:15" ht="15.75" customHeight="1" x14ac:dyDescent="0.3">
      <c r="A37" s="57" t="s">
        <v>45</v>
      </c>
      <c r="B37" s="58"/>
      <c r="C37" s="59"/>
      <c r="D37" s="134"/>
      <c r="E37" s="135"/>
      <c r="F37" s="134"/>
      <c r="G37" s="136"/>
      <c r="H37" s="134"/>
      <c r="I37" s="136"/>
      <c r="J37" s="134"/>
      <c r="K37" s="136"/>
      <c r="L37" s="134"/>
      <c r="M37" s="136"/>
      <c r="N37" s="137"/>
      <c r="O37" s="136"/>
    </row>
    <row r="38" spans="1:15" ht="15.75" customHeight="1" x14ac:dyDescent="0.3">
      <c r="A38" s="37"/>
      <c r="B38" s="38"/>
      <c r="C38" s="38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</row>
    <row r="39" spans="1:15" ht="15.75" customHeight="1" x14ac:dyDescent="0.3">
      <c r="A39" s="66" t="s">
        <v>23</v>
      </c>
      <c r="B39" s="67"/>
      <c r="C39" s="68"/>
      <c r="D39" s="69"/>
      <c r="E39" s="138">
        <f>+E34+E35+E37+E36</f>
        <v>0</v>
      </c>
      <c r="F39" s="139"/>
      <c r="G39" s="138">
        <f>+G34+G35+G37+G36</f>
        <v>0</v>
      </c>
      <c r="H39" s="139"/>
      <c r="I39" s="138">
        <f>+I34+I35+I37+I36</f>
        <v>0</v>
      </c>
      <c r="J39" s="139"/>
      <c r="K39" s="138">
        <f>+K34+K35+K37+K36</f>
        <v>0</v>
      </c>
      <c r="L39" s="69"/>
      <c r="M39" s="72">
        <f>+M34+M35+M37+M36</f>
        <v>0</v>
      </c>
      <c r="N39" s="69"/>
      <c r="O39" s="138">
        <f>SUM(O34:O37)</f>
        <v>0</v>
      </c>
    </row>
    <row r="40" spans="1:15" ht="15.75" customHeight="1" x14ac:dyDescent="0.3">
      <c r="A40" s="73" t="s">
        <v>24</v>
      </c>
      <c r="B40" s="280"/>
      <c r="C40" s="269"/>
      <c r="D40" s="266"/>
      <c r="E40" s="269"/>
      <c r="F40" s="266"/>
      <c r="G40" s="269"/>
      <c r="H40" s="266"/>
      <c r="I40" s="269"/>
      <c r="J40" s="289"/>
      <c r="K40" s="269"/>
      <c r="L40" s="289"/>
      <c r="M40" s="269"/>
      <c r="N40" s="308"/>
      <c r="O40" s="269"/>
    </row>
    <row r="41" spans="1:15" ht="15.75" customHeight="1" x14ac:dyDescent="0.3"/>
    <row r="42" spans="1:15" ht="15.75" customHeight="1" x14ac:dyDescent="0.3"/>
    <row r="43" spans="1:15" ht="15.75" customHeight="1" x14ac:dyDescent="0.3"/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A8:O8"/>
    <mergeCell ref="A10:A11"/>
    <mergeCell ref="B10:B11"/>
    <mergeCell ref="C10:C11"/>
    <mergeCell ref="D10:E10"/>
    <mergeCell ref="F10:G10"/>
    <mergeCell ref="N10:O10"/>
    <mergeCell ref="L40:M40"/>
    <mergeCell ref="N40:O40"/>
    <mergeCell ref="H10:I10"/>
    <mergeCell ref="A29:N29"/>
    <mergeCell ref="B30:C30"/>
    <mergeCell ref="B32:C32"/>
    <mergeCell ref="B33:C33"/>
    <mergeCell ref="B34:C34"/>
    <mergeCell ref="B35:C35"/>
    <mergeCell ref="B40:C40"/>
    <mergeCell ref="D40:E40"/>
    <mergeCell ref="F40:G40"/>
    <mergeCell ref="H40:I40"/>
    <mergeCell ref="J40:K40"/>
    <mergeCell ref="J10:K10"/>
    <mergeCell ref="L10:M10"/>
  </mergeCells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203B-8AEC-48DA-80AE-7620238F630A}">
  <sheetPr>
    <pageSetUpPr fitToPage="1"/>
  </sheetPr>
  <dimension ref="A1:O1000"/>
  <sheetViews>
    <sheetView workbookViewId="0">
      <selection activeCell="H30" sqref="H30"/>
    </sheetView>
  </sheetViews>
  <sheetFormatPr baseColWidth="10" defaultColWidth="14.44140625" defaultRowHeight="15" customHeight="1" x14ac:dyDescent="0.3"/>
  <cols>
    <col min="1" max="1" width="24.44140625" style="227" customWidth="1"/>
    <col min="2" max="2" width="8.6640625" style="227" customWidth="1"/>
    <col min="3" max="3" width="9.5546875" style="227" customWidth="1"/>
    <col min="4" max="4" width="11" style="227" bestFit="1" customWidth="1"/>
    <col min="5" max="5" width="12.44140625" style="227" bestFit="1" customWidth="1"/>
    <col min="6" max="6" width="11" style="227" bestFit="1" customWidth="1"/>
    <col min="7" max="7" width="14" style="227" bestFit="1" customWidth="1"/>
    <col min="8" max="8" width="11" style="227" bestFit="1" customWidth="1"/>
    <col min="9" max="9" width="12.44140625" style="227" bestFit="1" customWidth="1"/>
    <col min="10" max="12" width="10.6640625" style="227" hidden="1" customWidth="1"/>
    <col min="13" max="13" width="6" style="227" hidden="1" customWidth="1"/>
    <col min="14" max="14" width="12.33203125" style="227" customWidth="1"/>
    <col min="15" max="15" width="13" style="227" customWidth="1"/>
    <col min="16" max="26" width="10.6640625" style="227" customWidth="1"/>
    <col min="27" max="16384" width="14.44140625" style="227"/>
  </cols>
  <sheetData>
    <row r="1" spans="1:15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196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5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 x14ac:dyDescent="0.3">
      <c r="A6" s="5" t="s">
        <v>197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5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14.4" x14ac:dyDescent="0.3">
      <c r="A10" s="310" t="s">
        <v>6</v>
      </c>
      <c r="B10" s="311" t="s">
        <v>7</v>
      </c>
      <c r="C10" s="312" t="s">
        <v>8</v>
      </c>
      <c r="D10" s="309" t="s">
        <v>70</v>
      </c>
      <c r="E10" s="271"/>
      <c r="F10" s="307" t="s">
        <v>214</v>
      </c>
      <c r="G10" s="271"/>
      <c r="H10" s="309" t="s">
        <v>9</v>
      </c>
      <c r="I10" s="282"/>
      <c r="J10" s="307"/>
      <c r="K10" s="271"/>
      <c r="L10" s="307"/>
      <c r="M10" s="271"/>
      <c r="N10" s="307" t="s">
        <v>12</v>
      </c>
      <c r="O10" s="271"/>
    </row>
    <row r="11" spans="1:15" thickBot="1" x14ac:dyDescent="0.35">
      <c r="A11" s="294"/>
      <c r="B11" s="292"/>
      <c r="C11" s="292"/>
      <c r="D11" s="89" t="s">
        <v>13</v>
      </c>
      <c r="E11" s="90" t="s">
        <v>14</v>
      </c>
      <c r="F11" s="91" t="s">
        <v>13</v>
      </c>
      <c r="G11" s="90" t="s">
        <v>14</v>
      </c>
      <c r="H11" s="89" t="s">
        <v>13</v>
      </c>
      <c r="I11" s="92" t="s">
        <v>14</v>
      </c>
      <c r="J11" s="91" t="s">
        <v>13</v>
      </c>
      <c r="K11" s="90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</row>
    <row r="12" spans="1:15" ht="14.4" x14ac:dyDescent="0.3">
      <c r="A12" s="93" t="s">
        <v>198</v>
      </c>
      <c r="B12" s="12" t="s">
        <v>7</v>
      </c>
      <c r="C12" s="13">
        <v>4</v>
      </c>
      <c r="D12" s="94">
        <v>919.78</v>
      </c>
      <c r="E12" s="95">
        <f t="shared" ref="E12:E27" si="0">D12*C12</f>
        <v>3679.12</v>
      </c>
      <c r="F12" s="160"/>
      <c r="G12" s="97">
        <f t="shared" ref="G12:G24" si="1">C12*F12</f>
        <v>0</v>
      </c>
      <c r="H12" s="94">
        <v>984.69</v>
      </c>
      <c r="I12" s="98">
        <f t="shared" ref="I12:I24" si="2">C12*H12</f>
        <v>3938.76</v>
      </c>
      <c r="J12" s="160"/>
      <c r="K12" s="97">
        <f t="shared" ref="K12:K25" si="3">C12*J12</f>
        <v>0</v>
      </c>
      <c r="L12" s="160"/>
      <c r="M12" s="97">
        <f t="shared" ref="M12:M24" si="4">C12*L12</f>
        <v>0</v>
      </c>
      <c r="N12" s="99">
        <f t="shared" ref="N12:N27" si="5">MIN(D12,F12,H12,J12,L12)</f>
        <v>919.78</v>
      </c>
      <c r="O12" s="100">
        <f t="shared" ref="O12:O24" si="6">N12*C12</f>
        <v>3679.12</v>
      </c>
    </row>
    <row r="13" spans="1:15" ht="14.4" x14ac:dyDescent="0.3">
      <c r="A13" s="101" t="s">
        <v>199</v>
      </c>
      <c r="B13" s="12" t="s">
        <v>211</v>
      </c>
      <c r="C13" s="13">
        <v>1.5</v>
      </c>
      <c r="D13" s="94">
        <f>(10908.15+5639.7)/1.5</f>
        <v>11031.9</v>
      </c>
      <c r="E13" s="95">
        <f t="shared" si="0"/>
        <v>16547.849999999999</v>
      </c>
      <c r="F13" s="160">
        <f>13396.48*0.750200003/1.21</f>
        <v>8305.8176332144139</v>
      </c>
      <c r="G13" s="97">
        <f t="shared" si="1"/>
        <v>12458.726449821621</v>
      </c>
      <c r="H13" s="94">
        <f>(4636.86+4968.68)/1.5</f>
        <v>6403.6933333333336</v>
      </c>
      <c r="I13" s="98">
        <f t="shared" si="2"/>
        <v>9605.5400000000009</v>
      </c>
      <c r="J13" s="160"/>
      <c r="K13" s="97">
        <f t="shared" si="3"/>
        <v>0</v>
      </c>
      <c r="L13" s="160"/>
      <c r="M13" s="97">
        <f t="shared" si="4"/>
        <v>0</v>
      </c>
      <c r="N13" s="99">
        <f t="shared" si="5"/>
        <v>6403.6933333333336</v>
      </c>
      <c r="O13" s="100">
        <f t="shared" si="6"/>
        <v>9605.5400000000009</v>
      </c>
    </row>
    <row r="14" spans="1:15" ht="14.4" x14ac:dyDescent="0.3">
      <c r="A14" s="101" t="s">
        <v>200</v>
      </c>
      <c r="B14" s="12" t="s">
        <v>212</v>
      </c>
      <c r="C14" s="13">
        <v>5</v>
      </c>
      <c r="D14" s="94"/>
      <c r="E14" s="95">
        <f t="shared" si="0"/>
        <v>0</v>
      </c>
      <c r="F14" s="160"/>
      <c r="G14" s="97">
        <f t="shared" si="1"/>
        <v>0</v>
      </c>
      <c r="H14" s="94">
        <v>3863.08</v>
      </c>
      <c r="I14" s="98">
        <f t="shared" si="2"/>
        <v>19315.400000000001</v>
      </c>
      <c r="J14" s="160"/>
      <c r="K14" s="97">
        <f t="shared" si="3"/>
        <v>0</v>
      </c>
      <c r="L14" s="160"/>
      <c r="M14" s="97">
        <f t="shared" si="4"/>
        <v>0</v>
      </c>
      <c r="N14" s="99">
        <f t="shared" si="5"/>
        <v>3863.08</v>
      </c>
      <c r="O14" s="100">
        <f t="shared" si="6"/>
        <v>19315.400000000001</v>
      </c>
    </row>
    <row r="15" spans="1:15" ht="14.4" x14ac:dyDescent="0.3">
      <c r="A15" s="93" t="s">
        <v>201</v>
      </c>
      <c r="B15" s="12" t="s">
        <v>213</v>
      </c>
      <c r="C15" s="13">
        <v>750</v>
      </c>
      <c r="D15" s="94">
        <f>(787.05+1336.5)/750</f>
        <v>2.8314000000000004</v>
      </c>
      <c r="E15" s="95">
        <f t="shared" si="0"/>
        <v>2123.5500000000002</v>
      </c>
      <c r="F15" s="160">
        <f>2116.98/500*0.750200003/1.21</f>
        <v>2.6250552104974214</v>
      </c>
      <c r="G15" s="97">
        <f t="shared" si="1"/>
        <v>1968.791407873066</v>
      </c>
      <c r="H15" s="94">
        <f>2057.96/750</f>
        <v>2.7439466666666665</v>
      </c>
      <c r="I15" s="98">
        <f t="shared" si="2"/>
        <v>2057.96</v>
      </c>
      <c r="J15" s="160"/>
      <c r="K15" s="97">
        <f t="shared" si="3"/>
        <v>0</v>
      </c>
      <c r="L15" s="160"/>
      <c r="M15" s="97">
        <f t="shared" si="4"/>
        <v>0</v>
      </c>
      <c r="N15" s="99">
        <f t="shared" si="5"/>
        <v>2.6250552104974214</v>
      </c>
      <c r="O15" s="100">
        <f t="shared" si="6"/>
        <v>1968.791407873066</v>
      </c>
    </row>
    <row r="16" spans="1:15" ht="14.4" x14ac:dyDescent="0.3">
      <c r="A16" s="93" t="s">
        <v>202</v>
      </c>
      <c r="B16" s="12" t="s">
        <v>7</v>
      </c>
      <c r="C16" s="13">
        <v>5</v>
      </c>
      <c r="D16" s="94">
        <v>4764.79</v>
      </c>
      <c r="E16" s="95">
        <f t="shared" si="0"/>
        <v>23823.95</v>
      </c>
      <c r="F16" s="160">
        <f>10210*0.750200003/1.21</f>
        <v>6330.2000253140495</v>
      </c>
      <c r="G16" s="97">
        <f t="shared" si="1"/>
        <v>31651.000126570249</v>
      </c>
      <c r="H16" s="94">
        <v>8695.64</v>
      </c>
      <c r="I16" s="98">
        <f t="shared" si="2"/>
        <v>43478.2</v>
      </c>
      <c r="J16" s="160"/>
      <c r="K16" s="97">
        <f t="shared" si="3"/>
        <v>0</v>
      </c>
      <c r="L16" s="160"/>
      <c r="M16" s="97">
        <f t="shared" si="4"/>
        <v>0</v>
      </c>
      <c r="N16" s="99">
        <f t="shared" si="5"/>
        <v>4764.79</v>
      </c>
      <c r="O16" s="100">
        <f t="shared" si="6"/>
        <v>23823.95</v>
      </c>
    </row>
    <row r="17" spans="1:15" ht="14.4" x14ac:dyDescent="0.3">
      <c r="A17" s="93" t="s">
        <v>203</v>
      </c>
      <c r="B17" s="12" t="s">
        <v>7</v>
      </c>
      <c r="C17" s="13">
        <v>1</v>
      </c>
      <c r="D17" s="94"/>
      <c r="E17" s="95">
        <f t="shared" si="0"/>
        <v>0</v>
      </c>
      <c r="F17" s="160"/>
      <c r="G17" s="97">
        <f t="shared" si="1"/>
        <v>0</v>
      </c>
      <c r="H17" s="94"/>
      <c r="I17" s="98">
        <f t="shared" si="2"/>
        <v>0</v>
      </c>
      <c r="J17" s="160"/>
      <c r="K17" s="97">
        <f t="shared" si="3"/>
        <v>0</v>
      </c>
      <c r="L17" s="160"/>
      <c r="M17" s="97">
        <f t="shared" si="4"/>
        <v>0</v>
      </c>
      <c r="N17" s="99">
        <f t="shared" si="5"/>
        <v>0</v>
      </c>
      <c r="O17" s="100">
        <f t="shared" si="6"/>
        <v>0</v>
      </c>
    </row>
    <row r="18" spans="1:15" ht="14.4" x14ac:dyDescent="0.3">
      <c r="A18" s="93" t="s">
        <v>204</v>
      </c>
      <c r="B18" s="12" t="s">
        <v>212</v>
      </c>
      <c r="C18" s="13">
        <v>8</v>
      </c>
      <c r="D18" s="94">
        <v>17187.21</v>
      </c>
      <c r="E18" s="95">
        <f t="shared" si="0"/>
        <v>137497.68</v>
      </c>
      <c r="F18" s="160">
        <f>13483.86*2*0.750200003/1.21</f>
        <v>16719.986466862119</v>
      </c>
      <c r="G18" s="97">
        <f t="shared" si="1"/>
        <v>133759.89173489696</v>
      </c>
      <c r="H18" s="94">
        <v>23009.29</v>
      </c>
      <c r="I18" s="98">
        <f t="shared" si="2"/>
        <v>184074.32</v>
      </c>
      <c r="J18" s="160"/>
      <c r="K18" s="97">
        <f t="shared" si="3"/>
        <v>0</v>
      </c>
      <c r="L18" s="160"/>
      <c r="M18" s="97">
        <f t="shared" si="4"/>
        <v>0</v>
      </c>
      <c r="N18" s="99">
        <f t="shared" si="5"/>
        <v>16719.986466862119</v>
      </c>
      <c r="O18" s="100">
        <f t="shared" si="6"/>
        <v>133759.89173489696</v>
      </c>
    </row>
    <row r="19" spans="1:15" ht="14.4" x14ac:dyDescent="0.3">
      <c r="A19" s="93" t="s">
        <v>205</v>
      </c>
      <c r="B19" s="12" t="s">
        <v>7</v>
      </c>
      <c r="C19" s="13">
        <v>10</v>
      </c>
      <c r="D19" s="94">
        <v>25549.71</v>
      </c>
      <c r="E19" s="95">
        <f t="shared" si="0"/>
        <v>255497.09999999998</v>
      </c>
      <c r="F19" s="160">
        <f>37351.96*0.750200003/1.21</f>
        <v>23158.215292608165</v>
      </c>
      <c r="G19" s="97">
        <f t="shared" si="1"/>
        <v>231582.15292608165</v>
      </c>
      <c r="H19" s="94">
        <v>23564.84</v>
      </c>
      <c r="I19" s="98">
        <f t="shared" si="2"/>
        <v>235648.4</v>
      </c>
      <c r="J19" s="160"/>
      <c r="K19" s="97">
        <f t="shared" si="3"/>
        <v>0</v>
      </c>
      <c r="L19" s="160"/>
      <c r="M19" s="97">
        <f t="shared" si="4"/>
        <v>0</v>
      </c>
      <c r="N19" s="99">
        <f t="shared" si="5"/>
        <v>23158.215292608165</v>
      </c>
      <c r="O19" s="100">
        <f t="shared" si="6"/>
        <v>231582.15292608165</v>
      </c>
    </row>
    <row r="20" spans="1:15" ht="14.4" x14ac:dyDescent="0.3">
      <c r="A20" s="93" t="s">
        <v>206</v>
      </c>
      <c r="B20" s="12" t="s">
        <v>7</v>
      </c>
      <c r="C20" s="13">
        <v>6</v>
      </c>
      <c r="D20" s="94">
        <v>750.95</v>
      </c>
      <c r="E20" s="95">
        <f t="shared" si="0"/>
        <v>4505.7000000000007</v>
      </c>
      <c r="F20" s="160">
        <f>1153.16*0.750200003/1.21</f>
        <v>714.95920285907448</v>
      </c>
      <c r="G20" s="97">
        <f t="shared" si="1"/>
        <v>4289.7552171544467</v>
      </c>
      <c r="H20" s="94">
        <v>879.37</v>
      </c>
      <c r="I20" s="98">
        <f t="shared" si="2"/>
        <v>5276.22</v>
      </c>
      <c r="J20" s="160"/>
      <c r="K20" s="97">
        <f t="shared" si="3"/>
        <v>0</v>
      </c>
      <c r="L20" s="160"/>
      <c r="M20" s="97">
        <f t="shared" si="4"/>
        <v>0</v>
      </c>
      <c r="N20" s="99">
        <f t="shared" si="5"/>
        <v>714.95920285907448</v>
      </c>
      <c r="O20" s="100">
        <f t="shared" si="6"/>
        <v>4289.7552171544467</v>
      </c>
    </row>
    <row r="21" spans="1:15" ht="15.75" customHeight="1" x14ac:dyDescent="0.3">
      <c r="A21" s="93" t="s">
        <v>207</v>
      </c>
      <c r="B21" s="12" t="s">
        <v>7</v>
      </c>
      <c r="C21" s="13">
        <v>54</v>
      </c>
      <c r="D21" s="94">
        <v>825.7</v>
      </c>
      <c r="E21" s="95">
        <f t="shared" si="0"/>
        <v>44587.8</v>
      </c>
      <c r="F21" s="160">
        <f>1378.24*0.750200003/1.21</f>
        <v>854.50880341712389</v>
      </c>
      <c r="G21" s="97">
        <f t="shared" si="1"/>
        <v>46143.475384524689</v>
      </c>
      <c r="H21" s="94">
        <v>991.02</v>
      </c>
      <c r="I21" s="98">
        <f t="shared" si="2"/>
        <v>53515.08</v>
      </c>
      <c r="J21" s="160"/>
      <c r="K21" s="97">
        <f t="shared" si="3"/>
        <v>0</v>
      </c>
      <c r="L21" s="160"/>
      <c r="M21" s="97">
        <f t="shared" si="4"/>
        <v>0</v>
      </c>
      <c r="N21" s="99">
        <f t="shared" si="5"/>
        <v>825.7</v>
      </c>
      <c r="O21" s="100">
        <f t="shared" si="6"/>
        <v>44587.8</v>
      </c>
    </row>
    <row r="22" spans="1:15" ht="15.75" customHeight="1" x14ac:dyDescent="0.3">
      <c r="A22" s="93" t="s">
        <v>208</v>
      </c>
      <c r="B22" s="12" t="s">
        <v>7</v>
      </c>
      <c r="C22" s="13">
        <v>10</v>
      </c>
      <c r="D22" s="94">
        <v>9826.86</v>
      </c>
      <c r="E22" s="95">
        <f t="shared" si="0"/>
        <v>98268.6</v>
      </c>
      <c r="F22" s="160">
        <f>14595.9*0.750200003/1.21</f>
        <v>9049.4580361881835</v>
      </c>
      <c r="G22" s="97">
        <f t="shared" si="1"/>
        <v>90494.580361881832</v>
      </c>
      <c r="H22" s="94">
        <v>12164.09</v>
      </c>
      <c r="I22" s="98">
        <f t="shared" si="2"/>
        <v>121640.9</v>
      </c>
      <c r="J22" s="160"/>
      <c r="K22" s="97">
        <f t="shared" si="3"/>
        <v>0</v>
      </c>
      <c r="L22" s="160"/>
      <c r="M22" s="97">
        <f t="shared" si="4"/>
        <v>0</v>
      </c>
      <c r="N22" s="99">
        <f t="shared" si="5"/>
        <v>9049.4580361881835</v>
      </c>
      <c r="O22" s="100">
        <f t="shared" si="6"/>
        <v>90494.580361881832</v>
      </c>
    </row>
    <row r="23" spans="1:15" ht="15.75" customHeight="1" x14ac:dyDescent="0.3">
      <c r="A23" s="93" t="s">
        <v>209</v>
      </c>
      <c r="B23" s="12" t="s">
        <v>7</v>
      </c>
      <c r="C23" s="13">
        <v>10</v>
      </c>
      <c r="D23" s="94">
        <v>933.45</v>
      </c>
      <c r="E23" s="95">
        <f t="shared" si="0"/>
        <v>9334.5</v>
      </c>
      <c r="F23" s="160">
        <f>1429.06*0.750200003/1.21</f>
        <v>886.01720354312397</v>
      </c>
      <c r="G23" s="97">
        <f t="shared" si="1"/>
        <v>8860.1720354312401</v>
      </c>
      <c r="H23" s="94">
        <v>1053.3699999999999</v>
      </c>
      <c r="I23" s="98">
        <f t="shared" si="2"/>
        <v>10533.699999999999</v>
      </c>
      <c r="J23" s="160"/>
      <c r="K23" s="97">
        <f t="shared" si="3"/>
        <v>0</v>
      </c>
      <c r="L23" s="160"/>
      <c r="M23" s="97">
        <f t="shared" si="4"/>
        <v>0</v>
      </c>
      <c r="N23" s="99">
        <f t="shared" si="5"/>
        <v>886.01720354312397</v>
      </c>
      <c r="O23" s="100">
        <f t="shared" si="6"/>
        <v>8860.1720354312401</v>
      </c>
    </row>
    <row r="24" spans="1:15" ht="15.75" customHeight="1" x14ac:dyDescent="0.3">
      <c r="A24" s="93" t="s">
        <v>210</v>
      </c>
      <c r="B24" s="12" t="s">
        <v>7</v>
      </c>
      <c r="C24" s="13">
        <v>10</v>
      </c>
      <c r="D24" s="94">
        <v>1041.8399999999999</v>
      </c>
      <c r="E24" s="95">
        <f t="shared" si="0"/>
        <v>10418.4</v>
      </c>
      <c r="F24" s="160">
        <f>1549.86*0.750200003/1.21</f>
        <v>960.91320384262815</v>
      </c>
      <c r="G24" s="97">
        <f t="shared" si="1"/>
        <v>9609.1320384262817</v>
      </c>
      <c r="H24" s="94">
        <v>1153.94</v>
      </c>
      <c r="I24" s="98">
        <f t="shared" si="2"/>
        <v>11539.400000000001</v>
      </c>
      <c r="J24" s="160"/>
      <c r="K24" s="97">
        <f t="shared" si="3"/>
        <v>0</v>
      </c>
      <c r="L24" s="160"/>
      <c r="M24" s="97">
        <f t="shared" si="4"/>
        <v>0</v>
      </c>
      <c r="N24" s="99">
        <f t="shared" si="5"/>
        <v>960.91320384262815</v>
      </c>
      <c r="O24" s="100">
        <f t="shared" si="6"/>
        <v>9609.1320384262817</v>
      </c>
    </row>
    <row r="25" spans="1:15" ht="15.75" hidden="1" customHeight="1" x14ac:dyDescent="0.3">
      <c r="A25" s="93"/>
      <c r="B25" s="12"/>
      <c r="C25" s="13"/>
      <c r="D25" s="94"/>
      <c r="E25" s="95">
        <f t="shared" si="0"/>
        <v>0</v>
      </c>
      <c r="F25" s="160"/>
      <c r="G25" s="97"/>
      <c r="H25" s="94"/>
      <c r="I25" s="98"/>
      <c r="J25" s="160"/>
      <c r="K25" s="97">
        <f t="shared" si="3"/>
        <v>0</v>
      </c>
      <c r="L25" s="160"/>
      <c r="M25" s="97"/>
      <c r="N25" s="99">
        <f t="shared" si="5"/>
        <v>0</v>
      </c>
      <c r="O25" s="100"/>
    </row>
    <row r="26" spans="1:15" ht="15.75" hidden="1" customHeight="1" x14ac:dyDescent="0.3">
      <c r="A26" s="93"/>
      <c r="B26" s="12"/>
      <c r="C26" s="13"/>
      <c r="D26" s="94"/>
      <c r="E26" s="95">
        <f t="shared" si="0"/>
        <v>0</v>
      </c>
      <c r="F26" s="160"/>
      <c r="G26" s="97"/>
      <c r="H26" s="94"/>
      <c r="I26" s="98"/>
      <c r="J26" s="160"/>
      <c r="K26" s="97"/>
      <c r="L26" s="160"/>
      <c r="M26" s="97"/>
      <c r="N26" s="99">
        <f t="shared" si="5"/>
        <v>0</v>
      </c>
      <c r="O26" s="100"/>
    </row>
    <row r="27" spans="1:15" ht="15.75" customHeight="1" x14ac:dyDescent="0.3">
      <c r="A27" s="102"/>
      <c r="B27" s="103"/>
      <c r="C27" s="103"/>
      <c r="D27" s="104"/>
      <c r="E27" s="95">
        <f t="shared" si="0"/>
        <v>0</v>
      </c>
      <c r="F27" s="105"/>
      <c r="G27" s="106"/>
      <c r="H27" s="104"/>
      <c r="I27" s="107"/>
      <c r="J27" s="105"/>
      <c r="K27" s="106"/>
      <c r="L27" s="105"/>
      <c r="M27" s="106"/>
      <c r="N27" s="99">
        <f t="shared" si="5"/>
        <v>0</v>
      </c>
      <c r="O27" s="108"/>
    </row>
    <row r="28" spans="1:15" ht="15.75" customHeight="1" thickBot="1" x14ac:dyDescent="0.35">
      <c r="A28" s="109"/>
      <c r="B28" s="110"/>
      <c r="C28" s="25"/>
      <c r="D28" s="111"/>
      <c r="E28" s="112"/>
      <c r="F28" s="113"/>
      <c r="G28" s="114"/>
      <c r="H28" s="111"/>
      <c r="I28" s="115"/>
      <c r="J28" s="113"/>
      <c r="K28" s="114"/>
      <c r="L28" s="113"/>
      <c r="M28" s="114"/>
      <c r="N28" s="116"/>
      <c r="O28" s="117"/>
    </row>
    <row r="29" spans="1:15" ht="15.75" customHeight="1" thickBot="1" x14ac:dyDescent="0.35">
      <c r="A29" s="272" t="s">
        <v>66</v>
      </c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4"/>
    </row>
    <row r="30" spans="1:15" ht="15.75" customHeight="1" thickBot="1" x14ac:dyDescent="0.35">
      <c r="A30" s="32" t="s">
        <v>17</v>
      </c>
      <c r="B30" s="274"/>
      <c r="C30" s="275"/>
      <c r="D30" s="118"/>
      <c r="E30" s="119">
        <f>+SUM(E12:E28)</f>
        <v>606284.25</v>
      </c>
      <c r="F30" s="33"/>
      <c r="G30" s="120">
        <f>+SUM(G12:G28)</f>
        <v>570817.67768266203</v>
      </c>
      <c r="H30" s="33"/>
      <c r="I30" s="120">
        <f>+SUM(I12:I29)</f>
        <v>700623.87999999989</v>
      </c>
      <c r="J30" s="33"/>
      <c r="K30" s="120">
        <f>+SUM(K12:K28)</f>
        <v>0</v>
      </c>
      <c r="L30" s="33"/>
      <c r="M30" s="120">
        <f>+SUM(M12:M29)</f>
        <v>0</v>
      </c>
      <c r="N30" s="36"/>
      <c r="O30" s="120">
        <f>+SUM(O12:O29)</f>
        <v>581576.28572174546</v>
      </c>
    </row>
    <row r="31" spans="1:15" ht="15.75" customHeight="1" thickBot="1" x14ac:dyDescent="0.35">
      <c r="A31" s="37"/>
      <c r="B31" s="38"/>
      <c r="C31" s="38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</row>
    <row r="32" spans="1:15" ht="15.75" customHeight="1" x14ac:dyDescent="0.3">
      <c r="A32" s="40" t="s">
        <v>18</v>
      </c>
      <c r="B32" s="276"/>
      <c r="C32" s="271"/>
      <c r="D32" s="122">
        <v>0</v>
      </c>
      <c r="E32" s="123">
        <f>+E30*D32</f>
        <v>0</v>
      </c>
      <c r="F32" s="41">
        <v>0</v>
      </c>
      <c r="G32" s="124">
        <f>+G30*F32</f>
        <v>0</v>
      </c>
      <c r="H32" s="41">
        <v>0</v>
      </c>
      <c r="I32" s="124">
        <f>+I30*H32</f>
        <v>0</v>
      </c>
      <c r="J32" s="41">
        <v>0</v>
      </c>
      <c r="K32" s="124">
        <f>+K30*J32</f>
        <v>0</v>
      </c>
      <c r="L32" s="41">
        <v>0</v>
      </c>
      <c r="M32" s="124">
        <f>+M30*L32</f>
        <v>0</v>
      </c>
      <c r="N32" s="125"/>
      <c r="O32" s="124">
        <f>+O30*N32</f>
        <v>0</v>
      </c>
    </row>
    <row r="33" spans="1:15" ht="15.75" customHeight="1" x14ac:dyDescent="0.3">
      <c r="A33" s="45" t="s">
        <v>19</v>
      </c>
      <c r="B33" s="277">
        <v>1</v>
      </c>
      <c r="C33" s="278"/>
      <c r="D33" s="126"/>
      <c r="E33" s="127"/>
      <c r="F33" s="126"/>
      <c r="G33" s="128"/>
      <c r="H33" s="126"/>
      <c r="I33" s="128"/>
      <c r="J33" s="126"/>
      <c r="K33" s="128"/>
      <c r="L33" s="126"/>
      <c r="M33" s="128"/>
      <c r="N33" s="129"/>
      <c r="O33" s="128"/>
    </row>
    <row r="34" spans="1:15" ht="15.75" customHeight="1" x14ac:dyDescent="0.3">
      <c r="A34" s="45" t="s">
        <v>20</v>
      </c>
      <c r="B34" s="277"/>
      <c r="C34" s="278"/>
      <c r="D34" s="126"/>
      <c r="E34" s="127">
        <f>+E30-E32</f>
        <v>606284.25</v>
      </c>
      <c r="F34" s="126"/>
      <c r="G34" s="128">
        <f>+G30-G32</f>
        <v>570817.67768266203</v>
      </c>
      <c r="H34" s="126"/>
      <c r="I34" s="128">
        <f>+I30-I32</f>
        <v>700623.87999999989</v>
      </c>
      <c r="J34" s="126"/>
      <c r="K34" s="128">
        <f>+K30-K32</f>
        <v>0</v>
      </c>
      <c r="L34" s="126"/>
      <c r="M34" s="128">
        <f>+M30-M32</f>
        <v>0</v>
      </c>
      <c r="N34" s="129"/>
      <c r="O34" s="128">
        <f>+O30-O32</f>
        <v>581576.28572174546</v>
      </c>
    </row>
    <row r="35" spans="1:15" ht="15.75" customHeight="1" x14ac:dyDescent="0.3">
      <c r="A35" s="45" t="s">
        <v>21</v>
      </c>
      <c r="B35" s="279">
        <v>0.21</v>
      </c>
      <c r="C35" s="278"/>
      <c r="D35" s="126"/>
      <c r="E35" s="127">
        <f>(+E34)*B35</f>
        <v>127319.69249999999</v>
      </c>
      <c r="F35" s="126"/>
      <c r="G35" s="128">
        <f>(+G34)*B35</f>
        <v>119871.71231335902</v>
      </c>
      <c r="H35" s="126"/>
      <c r="I35" s="128">
        <f>(+I34)*B35</f>
        <v>147131.01479999998</v>
      </c>
      <c r="J35" s="126"/>
      <c r="K35" s="128">
        <f>(+K34)*B35</f>
        <v>0</v>
      </c>
      <c r="L35" s="126"/>
      <c r="M35" s="128">
        <f>(+M34)*B35</f>
        <v>0</v>
      </c>
      <c r="N35" s="129"/>
      <c r="O35" s="128">
        <f>O34*B35</f>
        <v>122131.02000156655</v>
      </c>
    </row>
    <row r="36" spans="1:15" ht="15.75" customHeight="1" x14ac:dyDescent="0.3">
      <c r="A36" s="50" t="s">
        <v>22</v>
      </c>
      <c r="B36" s="51"/>
      <c r="C36" s="52"/>
      <c r="D36" s="130"/>
      <c r="E36" s="131">
        <v>9700.5400000000009</v>
      </c>
      <c r="F36" s="130"/>
      <c r="G36" s="132"/>
      <c r="H36" s="130"/>
      <c r="I36" s="132"/>
      <c r="J36" s="130"/>
      <c r="K36" s="132"/>
      <c r="L36" s="130"/>
      <c r="M36" s="132"/>
      <c r="N36" s="133"/>
      <c r="O36" s="132"/>
    </row>
    <row r="37" spans="1:15" ht="15.75" customHeight="1" thickBot="1" x14ac:dyDescent="0.35">
      <c r="A37" s="57" t="s">
        <v>45</v>
      </c>
      <c r="B37" s="58"/>
      <c r="C37" s="59"/>
      <c r="D37" s="134"/>
      <c r="E37" s="135"/>
      <c r="F37" s="134"/>
      <c r="G37" s="136"/>
      <c r="H37" s="134"/>
      <c r="I37" s="136"/>
      <c r="J37" s="134"/>
      <c r="K37" s="136"/>
      <c r="L37" s="134"/>
      <c r="M37" s="136"/>
      <c r="N37" s="137"/>
      <c r="O37" s="136"/>
    </row>
    <row r="38" spans="1:15" ht="15.75" customHeight="1" thickBot="1" x14ac:dyDescent="0.35">
      <c r="A38" s="37"/>
      <c r="B38" s="38"/>
      <c r="C38" s="38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</row>
    <row r="39" spans="1:15" ht="15.75" customHeight="1" thickBot="1" x14ac:dyDescent="0.35">
      <c r="A39" s="66" t="s">
        <v>23</v>
      </c>
      <c r="B39" s="67"/>
      <c r="C39" s="68"/>
      <c r="D39" s="69"/>
      <c r="E39" s="138">
        <f>+E34+E35+E37+E36</f>
        <v>743304.48250000004</v>
      </c>
      <c r="F39" s="139"/>
      <c r="G39" s="138">
        <f>+G34+G35+G37+G36</f>
        <v>690689.38999602105</v>
      </c>
      <c r="H39" s="139"/>
      <c r="I39" s="138">
        <f>+I34+I35+I37+I36</f>
        <v>847754.89479999989</v>
      </c>
      <c r="J39" s="139"/>
      <c r="K39" s="138">
        <f>+K34+K35+K37+K36</f>
        <v>0</v>
      </c>
      <c r="L39" s="69"/>
      <c r="M39" s="72">
        <f>+M34+M35+M37+M36</f>
        <v>0</v>
      </c>
      <c r="N39" s="69"/>
      <c r="O39" s="138">
        <f>SUM(O34:O37)</f>
        <v>703707.30572331196</v>
      </c>
    </row>
    <row r="40" spans="1:15" ht="15.75" customHeight="1" thickBot="1" x14ac:dyDescent="0.35">
      <c r="A40" s="73" t="s">
        <v>24</v>
      </c>
      <c r="B40" s="280"/>
      <c r="C40" s="269"/>
      <c r="D40" s="266"/>
      <c r="E40" s="269"/>
      <c r="F40" s="266"/>
      <c r="G40" s="269"/>
      <c r="H40" s="266"/>
      <c r="I40" s="269"/>
      <c r="J40" s="289"/>
      <c r="K40" s="269"/>
      <c r="L40" s="289"/>
      <c r="M40" s="269"/>
      <c r="N40" s="308"/>
      <c r="O40" s="269"/>
    </row>
    <row r="41" spans="1:15" ht="15.75" customHeight="1" x14ac:dyDescent="0.3"/>
    <row r="42" spans="1:15" ht="15.75" customHeight="1" x14ac:dyDescent="0.3"/>
    <row r="43" spans="1:15" ht="15.75" customHeight="1" x14ac:dyDescent="0.3"/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B35:C35"/>
    <mergeCell ref="A8:O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A29:N29"/>
    <mergeCell ref="B30:C30"/>
    <mergeCell ref="B32:C32"/>
    <mergeCell ref="B33:C33"/>
    <mergeCell ref="B34:C34"/>
    <mergeCell ref="N40:O40"/>
    <mergeCell ref="B40:C40"/>
    <mergeCell ref="D40:E40"/>
    <mergeCell ref="F40:G40"/>
    <mergeCell ref="H40:I40"/>
    <mergeCell ref="J40:K40"/>
    <mergeCell ref="L40:M40"/>
  </mergeCells>
  <pageMargins left="0.7" right="0.7" top="0.75" bottom="0.75" header="0" footer="0"/>
  <pageSetup scale="8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B82B-2846-4D06-BE76-EDC10FD779B1}">
  <sheetPr>
    <pageSetUpPr fitToPage="1"/>
  </sheetPr>
  <dimension ref="A1:O1000"/>
  <sheetViews>
    <sheetView workbookViewId="0">
      <selection activeCell="N28" sqref="N28"/>
    </sheetView>
  </sheetViews>
  <sheetFormatPr baseColWidth="10" defaultColWidth="14.44140625" defaultRowHeight="15" customHeight="1" x14ac:dyDescent="0.3"/>
  <cols>
    <col min="1" max="1" width="16.88671875" style="204" customWidth="1"/>
    <col min="2" max="2" width="8.44140625" style="204" customWidth="1"/>
    <col min="3" max="3" width="9.33203125" style="204" customWidth="1"/>
    <col min="4" max="4" width="10.6640625" style="204" customWidth="1"/>
    <col min="5" max="5" width="14.109375" style="204" bestFit="1" customWidth="1"/>
    <col min="6" max="6" width="12" style="204" bestFit="1" customWidth="1"/>
    <col min="7" max="7" width="14.109375" style="204" bestFit="1" customWidth="1"/>
    <col min="8" max="8" width="10.6640625" style="204" customWidth="1"/>
    <col min="9" max="9" width="14.109375" style="204" bestFit="1" customWidth="1"/>
    <col min="10" max="10" width="10.6640625" style="204" customWidth="1"/>
    <col min="11" max="11" width="14.109375" style="204" bestFit="1" customWidth="1"/>
    <col min="12" max="12" width="12.88671875" style="204" customWidth="1"/>
    <col min="13" max="13" width="13.88671875" style="204" customWidth="1"/>
    <col min="14" max="14" width="12" style="204" bestFit="1" customWidth="1"/>
    <col min="15" max="15" width="14.109375" style="204" bestFit="1" customWidth="1"/>
    <col min="16" max="26" width="10.6640625" style="204" customWidth="1"/>
    <col min="27" max="16384" width="14.44140625" style="204"/>
  </cols>
  <sheetData>
    <row r="1" spans="1:15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186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5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 x14ac:dyDescent="0.3">
      <c r="A6" s="5" t="s">
        <v>4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5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14.4" x14ac:dyDescent="0.3">
      <c r="A10" s="310" t="s">
        <v>6</v>
      </c>
      <c r="B10" s="311" t="s">
        <v>7</v>
      </c>
      <c r="C10" s="312" t="s">
        <v>8</v>
      </c>
      <c r="D10" s="309" t="s">
        <v>32</v>
      </c>
      <c r="E10" s="271"/>
      <c r="F10" s="307" t="s">
        <v>35</v>
      </c>
      <c r="G10" s="271"/>
      <c r="H10" s="309" t="s">
        <v>194</v>
      </c>
      <c r="I10" s="282"/>
      <c r="J10" s="307" t="s">
        <v>195</v>
      </c>
      <c r="K10" s="271"/>
      <c r="L10" s="307" t="s">
        <v>100</v>
      </c>
      <c r="M10" s="271"/>
      <c r="N10" s="307" t="s">
        <v>12</v>
      </c>
      <c r="O10" s="271"/>
    </row>
    <row r="11" spans="1:15" thickBot="1" x14ac:dyDescent="0.35">
      <c r="A11" s="294"/>
      <c r="B11" s="292"/>
      <c r="C11" s="292"/>
      <c r="D11" s="89" t="s">
        <v>13</v>
      </c>
      <c r="E11" s="90" t="s">
        <v>14</v>
      </c>
      <c r="F11" s="91" t="s">
        <v>13</v>
      </c>
      <c r="G11" s="90" t="s">
        <v>14</v>
      </c>
      <c r="H11" s="89" t="s">
        <v>13</v>
      </c>
      <c r="I11" s="92" t="s">
        <v>14</v>
      </c>
      <c r="J11" s="91" t="s">
        <v>13</v>
      </c>
      <c r="K11" s="90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</row>
    <row r="12" spans="1:15" ht="14.4" x14ac:dyDescent="0.3">
      <c r="A12" s="93" t="s">
        <v>187</v>
      </c>
      <c r="B12" s="12" t="s">
        <v>7</v>
      </c>
      <c r="C12" s="13">
        <v>80</v>
      </c>
      <c r="D12" s="94">
        <f>8790/1.21-100</f>
        <v>7164.462809917356</v>
      </c>
      <c r="E12" s="95">
        <f t="shared" ref="E12:E27" si="0">D12*C12</f>
        <v>573157.02479338844</v>
      </c>
      <c r="F12" s="160">
        <f>6796.513</f>
        <v>6796.5129999999999</v>
      </c>
      <c r="G12" s="97">
        <f t="shared" ref="G12:G24" si="1">C12*F12</f>
        <v>543721.04</v>
      </c>
      <c r="H12" s="94">
        <v>6802.03</v>
      </c>
      <c r="I12" s="98">
        <f t="shared" ref="I12:I22" si="2">C12*H12</f>
        <v>544162.4</v>
      </c>
      <c r="J12" s="160">
        <f>9245.41/1.21</f>
        <v>7640.8347107438021</v>
      </c>
      <c r="K12" s="97">
        <f t="shared" ref="K12:K25" si="3">C12*J12</f>
        <v>611266.77685950417</v>
      </c>
      <c r="L12" s="160">
        <v>6739.26</v>
      </c>
      <c r="M12" s="97">
        <f t="shared" ref="M12:M24" si="4">C12*L12</f>
        <v>539140.80000000005</v>
      </c>
      <c r="N12" s="99">
        <f t="shared" ref="N12:N27" si="5">MIN(D12,F12,H12,J12,L12)</f>
        <v>6739.26</v>
      </c>
      <c r="O12" s="100">
        <f t="shared" ref="O12:O22" si="6">N12*C12</f>
        <v>539140.80000000005</v>
      </c>
    </row>
    <row r="13" spans="1:15" ht="14.4" x14ac:dyDescent="0.3">
      <c r="A13" s="101" t="s">
        <v>188</v>
      </c>
      <c r="B13" s="12" t="s">
        <v>7</v>
      </c>
      <c r="C13" s="13">
        <v>100</v>
      </c>
      <c r="D13" s="94">
        <f>6690/1.21-100</f>
        <v>5428.9256198347111</v>
      </c>
      <c r="E13" s="95">
        <f t="shared" si="0"/>
        <v>542892.56198347115</v>
      </c>
      <c r="F13" s="160">
        <v>5195.25</v>
      </c>
      <c r="G13" s="97">
        <f t="shared" si="1"/>
        <v>519525</v>
      </c>
      <c r="H13" s="94">
        <v>5893.57</v>
      </c>
      <c r="I13" s="98">
        <f t="shared" si="2"/>
        <v>589357</v>
      </c>
      <c r="J13" s="160">
        <f>6780.22/1.21</f>
        <v>5603.4876033057853</v>
      </c>
      <c r="K13" s="97">
        <f t="shared" si="3"/>
        <v>560348.76033057855</v>
      </c>
      <c r="L13" s="160">
        <v>5111</v>
      </c>
      <c r="M13" s="97">
        <f t="shared" si="4"/>
        <v>511100</v>
      </c>
      <c r="N13" s="99">
        <f t="shared" si="5"/>
        <v>5111</v>
      </c>
      <c r="O13" s="100">
        <f t="shared" si="6"/>
        <v>511100</v>
      </c>
    </row>
    <row r="14" spans="1:15" ht="14.4" x14ac:dyDescent="0.3">
      <c r="A14" s="101" t="s">
        <v>189</v>
      </c>
      <c r="B14" s="12" t="s">
        <v>7</v>
      </c>
      <c r="C14" s="13">
        <v>10</v>
      </c>
      <c r="D14" s="94">
        <f>12500/1.21</f>
        <v>10330.578512396694</v>
      </c>
      <c r="E14" s="95">
        <f t="shared" si="0"/>
        <v>103305.78512396694</v>
      </c>
      <c r="F14" s="160"/>
      <c r="G14" s="97">
        <f t="shared" si="1"/>
        <v>0</v>
      </c>
      <c r="H14" s="94"/>
      <c r="I14" s="98">
        <f t="shared" si="2"/>
        <v>0</v>
      </c>
      <c r="J14" s="160">
        <f>20715.72/1.21</f>
        <v>17120.429752066117</v>
      </c>
      <c r="K14" s="97">
        <f t="shared" si="3"/>
        <v>171204.29752066117</v>
      </c>
      <c r="L14" s="160"/>
      <c r="M14" s="97">
        <f t="shared" si="4"/>
        <v>0</v>
      </c>
      <c r="N14" s="99">
        <f t="shared" si="5"/>
        <v>10330.578512396694</v>
      </c>
      <c r="O14" s="100">
        <f t="shared" si="6"/>
        <v>103305.78512396694</v>
      </c>
    </row>
    <row r="15" spans="1:15" ht="14.4" x14ac:dyDescent="0.3">
      <c r="A15" s="93" t="s">
        <v>190</v>
      </c>
      <c r="B15" s="12" t="s">
        <v>7</v>
      </c>
      <c r="C15" s="13">
        <v>756</v>
      </c>
      <c r="D15" s="94">
        <f>639/1.21/1.06</f>
        <v>498.20676750350844</v>
      </c>
      <c r="E15" s="95">
        <f t="shared" si="0"/>
        <v>376644.3162326524</v>
      </c>
      <c r="F15" s="160">
        <v>472.35700000000003</v>
      </c>
      <c r="G15" s="97">
        <f t="shared" si="1"/>
        <v>357101.89199999999</v>
      </c>
      <c r="H15" s="94">
        <v>472.43</v>
      </c>
      <c r="I15" s="98">
        <f t="shared" si="2"/>
        <v>357157.08</v>
      </c>
      <c r="J15" s="160">
        <f>641.7/1.21</f>
        <v>530.33057851239676</v>
      </c>
      <c r="K15" s="97">
        <f t="shared" si="3"/>
        <v>400929.91735537193</v>
      </c>
      <c r="L15" s="160">
        <v>416.22</v>
      </c>
      <c r="M15" s="97">
        <f t="shared" si="4"/>
        <v>314662.32</v>
      </c>
      <c r="N15" s="99">
        <f t="shared" si="5"/>
        <v>416.22</v>
      </c>
      <c r="O15" s="100">
        <f t="shared" si="6"/>
        <v>314662.32</v>
      </c>
    </row>
    <row r="16" spans="1:15" ht="14.4" x14ac:dyDescent="0.3">
      <c r="A16" s="93" t="s">
        <v>191</v>
      </c>
      <c r="B16" s="12" t="s">
        <v>7</v>
      </c>
      <c r="C16" s="13">
        <v>50</v>
      </c>
      <c r="D16" s="94">
        <f>120/1.21/1.06</f>
        <v>93.559956338687044</v>
      </c>
      <c r="E16" s="95">
        <f t="shared" si="0"/>
        <v>4677.9978169343522</v>
      </c>
      <c r="F16" s="160">
        <v>127.5</v>
      </c>
      <c r="G16" s="97">
        <f t="shared" si="1"/>
        <v>6375</v>
      </c>
      <c r="H16" s="94">
        <v>126.76</v>
      </c>
      <c r="I16" s="98">
        <f t="shared" si="2"/>
        <v>6338</v>
      </c>
      <c r="J16" s="160">
        <f>136.5/1.21</f>
        <v>112.80991735537191</v>
      </c>
      <c r="K16" s="97">
        <f t="shared" si="3"/>
        <v>5640.4958677685954</v>
      </c>
      <c r="L16" s="160">
        <v>117</v>
      </c>
      <c r="M16" s="97">
        <f t="shared" si="4"/>
        <v>5850</v>
      </c>
      <c r="N16" s="99">
        <f t="shared" si="5"/>
        <v>93.559956338687044</v>
      </c>
      <c r="O16" s="100">
        <f t="shared" si="6"/>
        <v>4677.9978169343522</v>
      </c>
    </row>
    <row r="17" spans="1:15" ht="14.4" x14ac:dyDescent="0.3">
      <c r="A17" s="93" t="s">
        <v>192</v>
      </c>
      <c r="B17" s="12" t="s">
        <v>7</v>
      </c>
      <c r="C17" s="13">
        <v>90</v>
      </c>
      <c r="D17" s="94">
        <f>759/1.21/1.06</f>
        <v>591.76672384219546</v>
      </c>
      <c r="E17" s="95">
        <f t="shared" si="0"/>
        <v>53259.005145797593</v>
      </c>
      <c r="F17" s="160">
        <v>568.976</v>
      </c>
      <c r="G17" s="97">
        <f t="shared" si="1"/>
        <v>51207.839999999997</v>
      </c>
      <c r="H17" s="94">
        <v>571.01</v>
      </c>
      <c r="I17" s="98">
        <f t="shared" si="2"/>
        <v>51390.9</v>
      </c>
      <c r="J17" s="160">
        <f>786.43/1.21</f>
        <v>649.94214876033061</v>
      </c>
      <c r="K17" s="97">
        <f t="shared" si="3"/>
        <v>58494.793388429753</v>
      </c>
      <c r="L17" s="160">
        <v>500.81</v>
      </c>
      <c r="M17" s="97">
        <f t="shared" si="4"/>
        <v>45072.9</v>
      </c>
      <c r="N17" s="99">
        <f t="shared" si="5"/>
        <v>500.81</v>
      </c>
      <c r="O17" s="100">
        <f t="shared" si="6"/>
        <v>45072.9</v>
      </c>
    </row>
    <row r="18" spans="1:15" ht="14.4" x14ac:dyDescent="0.3">
      <c r="A18" s="93" t="s">
        <v>193</v>
      </c>
      <c r="B18" s="12" t="s">
        <v>7</v>
      </c>
      <c r="C18" s="13">
        <v>1</v>
      </c>
      <c r="D18" s="94"/>
      <c r="E18" s="95">
        <f t="shared" si="0"/>
        <v>0</v>
      </c>
      <c r="F18" s="160">
        <v>326694.09999999998</v>
      </c>
      <c r="G18" s="97">
        <f t="shared" si="1"/>
        <v>326694.09999999998</v>
      </c>
      <c r="H18" s="94"/>
      <c r="I18" s="98">
        <f t="shared" si="2"/>
        <v>0</v>
      </c>
      <c r="J18" s="160"/>
      <c r="K18" s="97">
        <f t="shared" si="3"/>
        <v>0</v>
      </c>
      <c r="L18" s="160">
        <v>380000</v>
      </c>
      <c r="M18" s="97">
        <f t="shared" si="4"/>
        <v>380000</v>
      </c>
      <c r="N18" s="99"/>
      <c r="O18" s="100">
        <f t="shared" si="6"/>
        <v>0</v>
      </c>
    </row>
    <row r="19" spans="1:15" ht="14.4" x14ac:dyDescent="0.3">
      <c r="A19" s="93" t="s">
        <v>43</v>
      </c>
      <c r="B19" s="12" t="s">
        <v>7</v>
      </c>
      <c r="C19" s="13">
        <v>2</v>
      </c>
      <c r="D19" s="94"/>
      <c r="E19" s="95">
        <f t="shared" si="0"/>
        <v>0</v>
      </c>
      <c r="F19" s="160"/>
      <c r="G19" s="97">
        <f t="shared" si="1"/>
        <v>0</v>
      </c>
      <c r="H19" s="94"/>
      <c r="I19" s="98">
        <f t="shared" si="2"/>
        <v>0</v>
      </c>
      <c r="J19" s="160">
        <f>8000/1.21</f>
        <v>6611.5702479338843</v>
      </c>
      <c r="K19" s="97">
        <f t="shared" si="3"/>
        <v>13223.140495867769</v>
      </c>
      <c r="L19" s="160">
        <f>68598.16/2</f>
        <v>34299.08</v>
      </c>
      <c r="M19" s="97">
        <f t="shared" si="4"/>
        <v>68598.16</v>
      </c>
      <c r="N19" s="99"/>
      <c r="O19" s="100">
        <f t="shared" si="6"/>
        <v>0</v>
      </c>
    </row>
    <row r="20" spans="1:15" ht="14.4" hidden="1" x14ac:dyDescent="0.3">
      <c r="A20" s="93"/>
      <c r="B20" s="12"/>
      <c r="C20" s="13"/>
      <c r="D20" s="94"/>
      <c r="E20" s="95">
        <f t="shared" si="0"/>
        <v>0</v>
      </c>
      <c r="F20" s="160"/>
      <c r="G20" s="97">
        <f t="shared" si="1"/>
        <v>0</v>
      </c>
      <c r="H20" s="94"/>
      <c r="I20" s="98">
        <f t="shared" si="2"/>
        <v>0</v>
      </c>
      <c r="J20" s="160"/>
      <c r="K20" s="97">
        <f t="shared" si="3"/>
        <v>0</v>
      </c>
      <c r="L20" s="160"/>
      <c r="M20" s="97">
        <f t="shared" si="4"/>
        <v>0</v>
      </c>
      <c r="N20" s="99">
        <f t="shared" si="5"/>
        <v>0</v>
      </c>
      <c r="O20" s="100">
        <f t="shared" si="6"/>
        <v>0</v>
      </c>
    </row>
    <row r="21" spans="1:15" ht="15.75" hidden="1" customHeight="1" x14ac:dyDescent="0.3">
      <c r="A21" s="93"/>
      <c r="B21" s="12"/>
      <c r="C21" s="13"/>
      <c r="D21" s="94"/>
      <c r="E21" s="95">
        <f t="shared" si="0"/>
        <v>0</v>
      </c>
      <c r="F21" s="160"/>
      <c r="G21" s="97">
        <f t="shared" si="1"/>
        <v>0</v>
      </c>
      <c r="H21" s="94"/>
      <c r="I21" s="98">
        <f t="shared" si="2"/>
        <v>0</v>
      </c>
      <c r="J21" s="160"/>
      <c r="K21" s="97">
        <f t="shared" si="3"/>
        <v>0</v>
      </c>
      <c r="L21" s="160"/>
      <c r="M21" s="97">
        <f t="shared" si="4"/>
        <v>0</v>
      </c>
      <c r="N21" s="99">
        <f t="shared" si="5"/>
        <v>0</v>
      </c>
      <c r="O21" s="100">
        <f t="shared" si="6"/>
        <v>0</v>
      </c>
    </row>
    <row r="22" spans="1:15" ht="15.75" hidden="1" customHeight="1" x14ac:dyDescent="0.3">
      <c r="A22" s="93"/>
      <c r="B22" s="12"/>
      <c r="C22" s="13"/>
      <c r="D22" s="94"/>
      <c r="E22" s="95">
        <f t="shared" si="0"/>
        <v>0</v>
      </c>
      <c r="F22" s="160"/>
      <c r="G22" s="97">
        <f t="shared" si="1"/>
        <v>0</v>
      </c>
      <c r="H22" s="94"/>
      <c r="I22" s="98">
        <f t="shared" si="2"/>
        <v>0</v>
      </c>
      <c r="J22" s="160"/>
      <c r="K22" s="97">
        <f t="shared" si="3"/>
        <v>0</v>
      </c>
      <c r="L22" s="160"/>
      <c r="M22" s="97">
        <f t="shared" si="4"/>
        <v>0</v>
      </c>
      <c r="N22" s="99">
        <f t="shared" si="5"/>
        <v>0</v>
      </c>
      <c r="O22" s="100">
        <f t="shared" si="6"/>
        <v>0</v>
      </c>
    </row>
    <row r="23" spans="1:15" ht="15.75" hidden="1" customHeight="1" x14ac:dyDescent="0.3">
      <c r="A23" s="93"/>
      <c r="B23" s="12"/>
      <c r="C23" s="13"/>
      <c r="D23" s="94"/>
      <c r="E23" s="95">
        <f t="shared" si="0"/>
        <v>0</v>
      </c>
      <c r="F23" s="160"/>
      <c r="G23" s="97">
        <f t="shared" si="1"/>
        <v>0</v>
      </c>
      <c r="H23" s="94"/>
      <c r="I23" s="98"/>
      <c r="J23" s="160"/>
      <c r="K23" s="97">
        <f t="shared" si="3"/>
        <v>0</v>
      </c>
      <c r="L23" s="160"/>
      <c r="M23" s="97">
        <f t="shared" si="4"/>
        <v>0</v>
      </c>
      <c r="N23" s="99">
        <f t="shared" si="5"/>
        <v>0</v>
      </c>
      <c r="O23" s="100"/>
    </row>
    <row r="24" spans="1:15" ht="15.75" hidden="1" customHeight="1" x14ac:dyDescent="0.3">
      <c r="A24" s="93"/>
      <c r="B24" s="12"/>
      <c r="C24" s="13"/>
      <c r="D24" s="94"/>
      <c r="E24" s="95">
        <f t="shared" si="0"/>
        <v>0</v>
      </c>
      <c r="F24" s="160"/>
      <c r="G24" s="97">
        <f t="shared" si="1"/>
        <v>0</v>
      </c>
      <c r="H24" s="94"/>
      <c r="I24" s="98"/>
      <c r="J24" s="160"/>
      <c r="K24" s="97">
        <f t="shared" si="3"/>
        <v>0</v>
      </c>
      <c r="L24" s="160"/>
      <c r="M24" s="97">
        <f t="shared" si="4"/>
        <v>0</v>
      </c>
      <c r="N24" s="99">
        <f t="shared" si="5"/>
        <v>0</v>
      </c>
      <c r="O24" s="100"/>
    </row>
    <row r="25" spans="1:15" ht="15.75" hidden="1" customHeight="1" x14ac:dyDescent="0.3">
      <c r="A25" s="93"/>
      <c r="B25" s="12"/>
      <c r="C25" s="13"/>
      <c r="D25" s="94"/>
      <c r="E25" s="95">
        <f t="shared" si="0"/>
        <v>0</v>
      </c>
      <c r="F25" s="160"/>
      <c r="G25" s="97"/>
      <c r="H25" s="94"/>
      <c r="I25" s="98"/>
      <c r="J25" s="160"/>
      <c r="K25" s="97">
        <f t="shared" si="3"/>
        <v>0</v>
      </c>
      <c r="L25" s="160"/>
      <c r="M25" s="97"/>
      <c r="N25" s="99">
        <f t="shared" si="5"/>
        <v>0</v>
      </c>
      <c r="O25" s="100"/>
    </row>
    <row r="26" spans="1:15" ht="15.75" hidden="1" customHeight="1" x14ac:dyDescent="0.3">
      <c r="A26" s="93"/>
      <c r="B26" s="12"/>
      <c r="C26" s="13"/>
      <c r="D26" s="94"/>
      <c r="E26" s="95">
        <f t="shared" si="0"/>
        <v>0</v>
      </c>
      <c r="F26" s="160"/>
      <c r="G26" s="97"/>
      <c r="H26" s="94"/>
      <c r="I26" s="98"/>
      <c r="J26" s="160"/>
      <c r="K26" s="97"/>
      <c r="L26" s="160"/>
      <c r="M26" s="97"/>
      <c r="N26" s="99">
        <f t="shared" si="5"/>
        <v>0</v>
      </c>
      <c r="O26" s="100"/>
    </row>
    <row r="27" spans="1:15" ht="15.75" hidden="1" customHeight="1" x14ac:dyDescent="0.3">
      <c r="A27" s="102"/>
      <c r="B27" s="103"/>
      <c r="C27" s="103"/>
      <c r="D27" s="104"/>
      <c r="E27" s="95">
        <f t="shared" si="0"/>
        <v>0</v>
      </c>
      <c r="F27" s="105"/>
      <c r="G27" s="106"/>
      <c r="H27" s="104"/>
      <c r="I27" s="107"/>
      <c r="J27" s="105"/>
      <c r="K27" s="106"/>
      <c r="L27" s="105"/>
      <c r="M27" s="106"/>
      <c r="N27" s="99">
        <f t="shared" si="5"/>
        <v>0</v>
      </c>
      <c r="O27" s="108"/>
    </row>
    <row r="28" spans="1:15" ht="15.75" customHeight="1" thickBot="1" x14ac:dyDescent="0.35">
      <c r="A28" s="109"/>
      <c r="B28" s="110"/>
      <c r="C28" s="25"/>
      <c r="D28" s="111"/>
      <c r="E28" s="112"/>
      <c r="F28" s="113"/>
      <c r="G28" s="114"/>
      <c r="H28" s="111"/>
      <c r="I28" s="115"/>
      <c r="J28" s="113"/>
      <c r="K28" s="114"/>
      <c r="L28" s="113"/>
      <c r="M28" s="114"/>
      <c r="N28" s="116"/>
      <c r="O28" s="117"/>
    </row>
    <row r="29" spans="1:15" ht="15.75" customHeight="1" thickBot="1" x14ac:dyDescent="0.35">
      <c r="A29" s="272" t="s">
        <v>66</v>
      </c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4"/>
    </row>
    <row r="30" spans="1:15" ht="15.75" customHeight="1" thickBot="1" x14ac:dyDescent="0.35">
      <c r="A30" s="32" t="s">
        <v>17</v>
      </c>
      <c r="B30" s="274"/>
      <c r="C30" s="275"/>
      <c r="D30" s="118"/>
      <c r="E30" s="119">
        <f>+SUM(E12:E28)</f>
        <v>1653936.6910962106</v>
      </c>
      <c r="F30" s="33"/>
      <c r="G30" s="120">
        <f>+SUM(G12:G28)</f>
        <v>1804624.872</v>
      </c>
      <c r="H30" s="33"/>
      <c r="I30" s="120">
        <f>+SUM(I12:I29)</f>
        <v>1548405.38</v>
      </c>
      <c r="J30" s="33"/>
      <c r="K30" s="120">
        <f>+SUM(K12:K28)</f>
        <v>1821108.1818181819</v>
      </c>
      <c r="L30" s="33"/>
      <c r="M30" s="120">
        <f>+SUM(M12:M29)</f>
        <v>1864424.18</v>
      </c>
      <c r="N30" s="36"/>
      <c r="O30" s="120">
        <f>+SUM(O12:O29)</f>
        <v>1517959.8029409011</v>
      </c>
    </row>
    <row r="31" spans="1:15" ht="15.75" customHeight="1" thickBot="1" x14ac:dyDescent="0.35">
      <c r="A31" s="37"/>
      <c r="B31" s="38"/>
      <c r="C31" s="38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</row>
    <row r="32" spans="1:15" ht="15.75" customHeight="1" x14ac:dyDescent="0.3">
      <c r="A32" s="40" t="s">
        <v>18</v>
      </c>
      <c r="B32" s="276"/>
      <c r="C32" s="271"/>
      <c r="D32" s="122">
        <v>0</v>
      </c>
      <c r="E32" s="123">
        <f>+E30*D32</f>
        <v>0</v>
      </c>
      <c r="F32" s="41">
        <v>0</v>
      </c>
      <c r="G32" s="124">
        <f>+G30*F32</f>
        <v>0</v>
      </c>
      <c r="H32" s="41">
        <v>0</v>
      </c>
      <c r="I32" s="124">
        <f>+I30*H32</f>
        <v>0</v>
      </c>
      <c r="J32" s="41">
        <v>0</v>
      </c>
      <c r="K32" s="124">
        <f>+K30*J32</f>
        <v>0</v>
      </c>
      <c r="L32" s="41">
        <v>0</v>
      </c>
      <c r="M32" s="124">
        <f>+M30*L32</f>
        <v>0</v>
      </c>
      <c r="N32" s="125"/>
      <c r="O32" s="124">
        <f>+O30*N32</f>
        <v>0</v>
      </c>
    </row>
    <row r="33" spans="1:15" ht="15.75" customHeight="1" x14ac:dyDescent="0.3">
      <c r="A33" s="45" t="s">
        <v>19</v>
      </c>
      <c r="B33" s="277">
        <v>1</v>
      </c>
      <c r="C33" s="278"/>
      <c r="D33" s="126"/>
      <c r="E33" s="127"/>
      <c r="F33" s="126"/>
      <c r="G33" s="128"/>
      <c r="H33" s="126"/>
      <c r="I33" s="128"/>
      <c r="J33" s="126"/>
      <c r="K33" s="128"/>
      <c r="L33" s="126"/>
      <c r="M33" s="128"/>
      <c r="N33" s="129"/>
      <c r="O33" s="128"/>
    </row>
    <row r="34" spans="1:15" ht="15.75" customHeight="1" x14ac:dyDescent="0.3">
      <c r="A34" s="45" t="s">
        <v>20</v>
      </c>
      <c r="B34" s="277"/>
      <c r="C34" s="278"/>
      <c r="D34" s="126"/>
      <c r="E34" s="127">
        <f>+E30-E32</f>
        <v>1653936.6910962106</v>
      </c>
      <c r="F34" s="126"/>
      <c r="G34" s="128">
        <f>+G30-G32</f>
        <v>1804624.872</v>
      </c>
      <c r="H34" s="126"/>
      <c r="I34" s="128">
        <f>+I30-I32</f>
        <v>1548405.38</v>
      </c>
      <c r="J34" s="126"/>
      <c r="K34" s="128">
        <f>+K30-K32</f>
        <v>1821108.1818181819</v>
      </c>
      <c r="L34" s="126"/>
      <c r="M34" s="128">
        <f>+M30-M32</f>
        <v>1864424.18</v>
      </c>
      <c r="N34" s="129"/>
      <c r="O34" s="128">
        <f>+O30-O32</f>
        <v>1517959.8029409011</v>
      </c>
    </row>
    <row r="35" spans="1:15" ht="15.75" customHeight="1" x14ac:dyDescent="0.3">
      <c r="A35" s="45" t="s">
        <v>21</v>
      </c>
      <c r="B35" s="279">
        <v>0.21</v>
      </c>
      <c r="C35" s="278"/>
      <c r="D35" s="126"/>
      <c r="E35" s="127">
        <f>(+E34)*B35</f>
        <v>347326.70513020421</v>
      </c>
      <c r="F35" s="126"/>
      <c r="G35" s="128">
        <f>(+G34)*B35</f>
        <v>378971.22311999998</v>
      </c>
      <c r="H35" s="126"/>
      <c r="I35" s="128">
        <f>(+I34)*B35</f>
        <v>325165.12979999994</v>
      </c>
      <c r="J35" s="126"/>
      <c r="K35" s="128">
        <f>(+K34)*B35</f>
        <v>382432.7181818182</v>
      </c>
      <c r="L35" s="126"/>
      <c r="M35" s="128">
        <f>(+M34)*B35</f>
        <v>391529.07779999997</v>
      </c>
      <c r="N35" s="129"/>
      <c r="O35" s="128">
        <f>O34*B35</f>
        <v>318771.55861758924</v>
      </c>
    </row>
    <row r="36" spans="1:15" ht="15.75" customHeight="1" x14ac:dyDescent="0.3">
      <c r="A36" s="50" t="s">
        <v>22</v>
      </c>
      <c r="B36" s="51"/>
      <c r="C36" s="52"/>
      <c r="D36" s="130"/>
      <c r="E36" s="131"/>
      <c r="F36" s="130"/>
      <c r="G36" s="132"/>
      <c r="H36" s="130"/>
      <c r="I36" s="132">
        <v>71226.460000000006</v>
      </c>
      <c r="J36" s="130"/>
      <c r="K36" s="132"/>
      <c r="L36" s="130"/>
      <c r="M36" s="132">
        <v>23750.82</v>
      </c>
      <c r="N36" s="133"/>
      <c r="O36" s="132"/>
    </row>
    <row r="37" spans="1:15" ht="15.75" customHeight="1" thickBot="1" x14ac:dyDescent="0.35">
      <c r="A37" s="57" t="s">
        <v>45</v>
      </c>
      <c r="B37" s="58"/>
      <c r="C37" s="59"/>
      <c r="D37" s="134"/>
      <c r="E37" s="135"/>
      <c r="F37" s="134"/>
      <c r="G37" s="136"/>
      <c r="H37" s="134"/>
      <c r="I37" s="136"/>
      <c r="J37" s="134"/>
      <c r="K37" s="136"/>
      <c r="L37" s="134"/>
      <c r="M37" s="136"/>
      <c r="N37" s="137"/>
      <c r="O37" s="136"/>
    </row>
    <row r="38" spans="1:15" ht="15.75" customHeight="1" thickBot="1" x14ac:dyDescent="0.35">
      <c r="A38" s="37"/>
      <c r="B38" s="38"/>
      <c r="C38" s="38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</row>
    <row r="39" spans="1:15" ht="15.75" customHeight="1" thickBot="1" x14ac:dyDescent="0.35">
      <c r="A39" s="66" t="s">
        <v>23</v>
      </c>
      <c r="B39" s="67"/>
      <c r="C39" s="68"/>
      <c r="D39" s="69"/>
      <c r="E39" s="138">
        <f>+E34+E35+E37+E36</f>
        <v>2001263.3962264149</v>
      </c>
      <c r="F39" s="139"/>
      <c r="G39" s="138">
        <f>+G34+G35+G37+G36</f>
        <v>2183596.0951199997</v>
      </c>
      <c r="H39" s="139"/>
      <c r="I39" s="138">
        <f>+I34+I35+I37+I36</f>
        <v>1944796.9697999998</v>
      </c>
      <c r="J39" s="139"/>
      <c r="K39" s="138">
        <f>+K34+K35+K37+K36</f>
        <v>2203540.9</v>
      </c>
      <c r="L39" s="69"/>
      <c r="M39" s="72">
        <f>+M34+M35+M37+M36</f>
        <v>2279704.0777999996</v>
      </c>
      <c r="N39" s="69"/>
      <c r="O39" s="138">
        <f>SUM(O34:O37)</f>
        <v>1836731.3615584904</v>
      </c>
    </row>
    <row r="40" spans="1:15" ht="15.75" customHeight="1" thickBot="1" x14ac:dyDescent="0.35">
      <c r="A40" s="73" t="s">
        <v>24</v>
      </c>
      <c r="B40" s="280"/>
      <c r="C40" s="269"/>
      <c r="D40" s="266"/>
      <c r="E40" s="269"/>
      <c r="F40" s="266"/>
      <c r="G40" s="269"/>
      <c r="H40" s="266"/>
      <c r="I40" s="269"/>
      <c r="J40" s="289"/>
      <c r="K40" s="269"/>
      <c r="L40" s="289"/>
      <c r="M40" s="269"/>
      <c r="N40" s="308"/>
      <c r="O40" s="269"/>
    </row>
    <row r="41" spans="1:15" ht="15.75" customHeight="1" x14ac:dyDescent="0.3"/>
    <row r="42" spans="1:15" ht="15.75" customHeight="1" x14ac:dyDescent="0.3"/>
    <row r="43" spans="1:15" ht="15.75" customHeight="1" x14ac:dyDescent="0.3"/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3">
    <mergeCell ref="N40:O40"/>
    <mergeCell ref="B40:C40"/>
    <mergeCell ref="D40:E40"/>
    <mergeCell ref="F40:G40"/>
    <mergeCell ref="H40:I40"/>
    <mergeCell ref="J40:K40"/>
    <mergeCell ref="L40:M40"/>
    <mergeCell ref="B35:C35"/>
    <mergeCell ref="A8:O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A29:N29"/>
    <mergeCell ref="B30:C30"/>
    <mergeCell ref="B32:C32"/>
    <mergeCell ref="B33:C33"/>
    <mergeCell ref="B34:C34"/>
  </mergeCells>
  <pageMargins left="0.7" right="0.7" top="0.75" bottom="0.75" header="0" footer="0"/>
  <pageSetup scale="6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8C6A-6E11-4871-859B-FDF9D1DA0CFF}">
  <sheetPr>
    <pageSetUpPr fitToPage="1"/>
  </sheetPr>
  <dimension ref="A1:O996"/>
  <sheetViews>
    <sheetView workbookViewId="0">
      <selection activeCell="O42" sqref="O42"/>
    </sheetView>
  </sheetViews>
  <sheetFormatPr baseColWidth="10" defaultColWidth="14.44140625" defaultRowHeight="15" customHeight="1" x14ac:dyDescent="0.3"/>
  <cols>
    <col min="1" max="1" width="23.88671875" style="258" customWidth="1"/>
    <col min="2" max="3" width="10.6640625" style="258" customWidth="1"/>
    <col min="4" max="4" width="11" style="258" bestFit="1" customWidth="1"/>
    <col min="5" max="5" width="14" style="258" bestFit="1" customWidth="1"/>
    <col min="6" max="6" width="11" style="258" bestFit="1" customWidth="1"/>
    <col min="7" max="7" width="16.109375" style="258" bestFit="1" customWidth="1"/>
    <col min="8" max="8" width="11" style="258" bestFit="1" customWidth="1"/>
    <col min="9" max="9" width="14" style="258" bestFit="1" customWidth="1"/>
    <col min="10" max="10" width="11" style="258" bestFit="1" customWidth="1"/>
    <col min="11" max="11" width="14" style="258" bestFit="1" customWidth="1"/>
    <col min="12" max="12" width="10.44140625" style="258" hidden="1" customWidth="1"/>
    <col min="13" max="13" width="10.6640625" style="258" hidden="1" customWidth="1"/>
    <col min="14" max="14" width="11.109375" style="258" customWidth="1"/>
    <col min="15" max="15" width="14" style="258" bestFit="1" customWidth="1"/>
    <col min="16" max="26" width="10.6640625" style="258" customWidth="1"/>
    <col min="27" max="16384" width="14.44140625" style="258"/>
  </cols>
  <sheetData>
    <row r="1" spans="1:15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250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5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 x14ac:dyDescent="0.3">
      <c r="A6" s="5" t="s">
        <v>223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5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14.4" x14ac:dyDescent="0.3">
      <c r="A10" s="310" t="s">
        <v>6</v>
      </c>
      <c r="B10" s="311" t="s">
        <v>7</v>
      </c>
      <c r="C10" s="312" t="s">
        <v>8</v>
      </c>
      <c r="D10" s="309" t="s">
        <v>32</v>
      </c>
      <c r="E10" s="271"/>
      <c r="F10" s="307" t="s">
        <v>33</v>
      </c>
      <c r="G10" s="271"/>
      <c r="H10" s="309" t="s">
        <v>34</v>
      </c>
      <c r="I10" s="282"/>
      <c r="J10" s="307" t="s">
        <v>35</v>
      </c>
      <c r="K10" s="271"/>
      <c r="L10" s="307"/>
      <c r="M10" s="271"/>
      <c r="N10" s="307" t="s">
        <v>12</v>
      </c>
      <c r="O10" s="271"/>
    </row>
    <row r="11" spans="1:15" thickBot="1" x14ac:dyDescent="0.35">
      <c r="A11" s="294"/>
      <c r="B11" s="292"/>
      <c r="C11" s="292"/>
      <c r="D11" s="89" t="s">
        <v>13</v>
      </c>
      <c r="E11" s="90" t="s">
        <v>14</v>
      </c>
      <c r="F11" s="91" t="s">
        <v>13</v>
      </c>
      <c r="G11" s="90" t="s">
        <v>14</v>
      </c>
      <c r="H11" s="89" t="s">
        <v>13</v>
      </c>
      <c r="I11" s="92" t="s">
        <v>14</v>
      </c>
      <c r="J11" s="91" t="s">
        <v>13</v>
      </c>
      <c r="K11" s="90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</row>
    <row r="12" spans="1:15" ht="14.4" x14ac:dyDescent="0.3">
      <c r="A12" s="93" t="s">
        <v>251</v>
      </c>
      <c r="B12" s="12" t="s">
        <v>7</v>
      </c>
      <c r="C12" s="13">
        <v>150</v>
      </c>
      <c r="D12" s="233">
        <f>6690/1.21</f>
        <v>5528.9256198347111</v>
      </c>
      <c r="E12" s="261">
        <f>D12*C12</f>
        <v>829338.84297520667</v>
      </c>
      <c r="F12" s="262">
        <f>6900.71/1.21</f>
        <v>5703.0661157024797</v>
      </c>
      <c r="G12" s="97">
        <f t="shared" ref="G12:G23" si="0">C12*F12</f>
        <v>855459.91735537199</v>
      </c>
      <c r="H12" s="232">
        <f>6163.51/1.21</f>
        <v>5093.8099173553719</v>
      </c>
      <c r="I12" s="98">
        <f t="shared" ref="I12:I23" si="1">C12*H12</f>
        <v>764071.48760330584</v>
      </c>
      <c r="J12" s="160">
        <v>5138.9110000000001</v>
      </c>
      <c r="K12" s="97">
        <f t="shared" ref="K12:K23" si="2">C12*J12</f>
        <v>770836.65</v>
      </c>
      <c r="L12" s="160"/>
      <c r="M12" s="97">
        <f t="shared" ref="M12:M23" si="3">C12*L12</f>
        <v>0</v>
      </c>
      <c r="N12" s="99">
        <f>MIN(D12,F12,H12,J12,L12)</f>
        <v>5093.8099173553719</v>
      </c>
      <c r="O12" s="100">
        <f t="shared" ref="O12:O23" si="4">N12*C12</f>
        <v>764071.48760330584</v>
      </c>
    </row>
    <row r="13" spans="1:15" ht="14.4" x14ac:dyDescent="0.3">
      <c r="A13" s="101" t="s">
        <v>252</v>
      </c>
      <c r="B13" s="12" t="s">
        <v>7</v>
      </c>
      <c r="C13" s="13">
        <v>80</v>
      </c>
      <c r="D13" s="233">
        <f>8850/1.21</f>
        <v>7314.0495867768595</v>
      </c>
      <c r="E13" s="261">
        <f>D13*C13</f>
        <v>585123.96694214875</v>
      </c>
      <c r="F13" s="262">
        <f>9206.82/1.21</f>
        <v>7608.9421487603304</v>
      </c>
      <c r="G13" s="97">
        <f t="shared" si="0"/>
        <v>608715.37190082646</v>
      </c>
      <c r="H13" s="232">
        <f>8117.324/1.21</f>
        <v>6708.5322314049581</v>
      </c>
      <c r="I13" s="98">
        <f t="shared" si="1"/>
        <v>536682.57851239666</v>
      </c>
      <c r="J13" s="160">
        <v>6809.3490000000002</v>
      </c>
      <c r="K13" s="97">
        <f t="shared" si="2"/>
        <v>544747.92000000004</v>
      </c>
      <c r="L13" s="160"/>
      <c r="M13" s="97">
        <f t="shared" si="3"/>
        <v>0</v>
      </c>
      <c r="N13" s="99">
        <f t="shared" ref="N13:N23" si="5">MIN(D13,F13,H13,J13,L13)</f>
        <v>6708.5322314049581</v>
      </c>
      <c r="O13" s="100">
        <f t="shared" si="4"/>
        <v>536682.57851239666</v>
      </c>
    </row>
    <row r="14" spans="1:15" ht="14.4" x14ac:dyDescent="0.3">
      <c r="A14" s="101" t="s">
        <v>253</v>
      </c>
      <c r="B14" s="12" t="s">
        <v>221</v>
      </c>
      <c r="C14" s="13">
        <v>2</v>
      </c>
      <c r="D14" s="233">
        <f>43900/1.21</f>
        <v>36280.991735537194</v>
      </c>
      <c r="E14" s="261">
        <f t="shared" ref="E14:E23" si="6">D14*C14</f>
        <v>72561.983471074389</v>
      </c>
      <c r="F14" s="262">
        <f>47377.2/1.21</f>
        <v>39154.710743801654</v>
      </c>
      <c r="G14" s="97">
        <f t="shared" si="0"/>
        <v>78309.421487603307</v>
      </c>
      <c r="H14" s="232">
        <f>38063.09/1.21</f>
        <v>31457.099173553717</v>
      </c>
      <c r="I14" s="98">
        <f t="shared" si="1"/>
        <v>62914.198347107435</v>
      </c>
      <c r="J14" s="160"/>
      <c r="K14" s="97">
        <f t="shared" si="2"/>
        <v>0</v>
      </c>
      <c r="L14" s="160"/>
      <c r="M14" s="97">
        <f t="shared" si="3"/>
        <v>0</v>
      </c>
      <c r="N14" s="99">
        <f t="shared" si="5"/>
        <v>31457.099173553717</v>
      </c>
      <c r="O14" s="100">
        <f t="shared" si="4"/>
        <v>62914.198347107435</v>
      </c>
    </row>
    <row r="15" spans="1:15" ht="14.4" x14ac:dyDescent="0.3">
      <c r="A15" s="93" t="s">
        <v>254</v>
      </c>
      <c r="B15" s="12" t="s">
        <v>221</v>
      </c>
      <c r="C15" s="13">
        <v>17</v>
      </c>
      <c r="D15" s="232">
        <f>12800/1.21</f>
        <v>10578.512396694216</v>
      </c>
      <c r="E15" s="261">
        <f t="shared" si="6"/>
        <v>179834.71074380167</v>
      </c>
      <c r="F15" s="262">
        <f>17367.86/1.21</f>
        <v>14353.603305785125</v>
      </c>
      <c r="G15" s="97">
        <f t="shared" si="0"/>
        <v>244011.25619834714</v>
      </c>
      <c r="H15" s="94">
        <f>16218.186/1.21</f>
        <v>13403.459504132232</v>
      </c>
      <c r="I15" s="98">
        <f t="shared" si="1"/>
        <v>227858.81157024793</v>
      </c>
      <c r="J15" s="160"/>
      <c r="K15" s="97">
        <f t="shared" si="2"/>
        <v>0</v>
      </c>
      <c r="L15" s="160"/>
      <c r="M15" s="97">
        <f t="shared" si="3"/>
        <v>0</v>
      </c>
      <c r="N15" s="99">
        <f t="shared" si="5"/>
        <v>10578.512396694216</v>
      </c>
      <c r="O15" s="100">
        <f t="shared" si="4"/>
        <v>179834.71074380167</v>
      </c>
    </row>
    <row r="16" spans="1:15" ht="14.4" x14ac:dyDescent="0.3">
      <c r="A16" s="93" t="s">
        <v>255</v>
      </c>
      <c r="B16" s="12" t="s">
        <v>221</v>
      </c>
      <c r="C16" s="13">
        <v>5</v>
      </c>
      <c r="D16" s="233">
        <f>32900/1.21</f>
        <v>27190.082644628099</v>
      </c>
      <c r="E16" s="261">
        <f t="shared" si="6"/>
        <v>135950.41322314049</v>
      </c>
      <c r="F16" s="262">
        <f>27401.7/1.21</f>
        <v>22646.03305785124</v>
      </c>
      <c r="G16" s="97">
        <f t="shared" si="0"/>
        <v>113230.1652892562</v>
      </c>
      <c r="H16" s="232">
        <f>26619.516/1.21</f>
        <v>21999.599999999999</v>
      </c>
      <c r="I16" s="98">
        <f t="shared" si="1"/>
        <v>109998</v>
      </c>
      <c r="J16" s="160"/>
      <c r="K16" s="97">
        <f t="shared" si="2"/>
        <v>0</v>
      </c>
      <c r="L16" s="160"/>
      <c r="M16" s="97">
        <f t="shared" si="3"/>
        <v>0</v>
      </c>
      <c r="N16" s="99">
        <f t="shared" si="5"/>
        <v>21999.599999999999</v>
      </c>
      <c r="O16" s="100">
        <f t="shared" si="4"/>
        <v>109998</v>
      </c>
    </row>
    <row r="17" spans="1:15" ht="14.4" x14ac:dyDescent="0.3">
      <c r="A17" s="93" t="s">
        <v>256</v>
      </c>
      <c r="B17" s="12" t="s">
        <v>7</v>
      </c>
      <c r="C17" s="13">
        <v>630</v>
      </c>
      <c r="D17" s="233">
        <f>600/1.21</f>
        <v>495.86776859504135</v>
      </c>
      <c r="E17" s="261">
        <f t="shared" si="6"/>
        <v>312396.69421487604</v>
      </c>
      <c r="F17" s="262">
        <f>613.57/1.21</f>
        <v>507.08264462809922</v>
      </c>
      <c r="G17" s="97">
        <f t="shared" si="0"/>
        <v>319462.0661157025</v>
      </c>
      <c r="H17" s="232">
        <f>567.852/1.21</f>
        <v>469.29917355371902</v>
      </c>
      <c r="I17" s="98">
        <f t="shared" si="1"/>
        <v>295658.47933884297</v>
      </c>
      <c r="J17" s="160">
        <f>472.357</f>
        <v>472.35700000000003</v>
      </c>
      <c r="K17" s="97">
        <f t="shared" si="2"/>
        <v>297584.91000000003</v>
      </c>
      <c r="L17" s="160"/>
      <c r="M17" s="97">
        <f t="shared" si="3"/>
        <v>0</v>
      </c>
      <c r="N17" s="99">
        <f t="shared" si="5"/>
        <v>469.29917355371902</v>
      </c>
      <c r="O17" s="100">
        <f t="shared" si="4"/>
        <v>295658.47933884297</v>
      </c>
    </row>
    <row r="18" spans="1:15" ht="14.4" x14ac:dyDescent="0.3">
      <c r="A18" s="93" t="s">
        <v>257</v>
      </c>
      <c r="B18" s="12" t="s">
        <v>7</v>
      </c>
      <c r="C18" s="13">
        <v>1</v>
      </c>
      <c r="D18" s="233">
        <f>57900/1.21</f>
        <v>47851.239669421491</v>
      </c>
      <c r="E18" s="261">
        <f t="shared" si="6"/>
        <v>47851.239669421491</v>
      </c>
      <c r="F18" s="260">
        <f>53746.77/1.21</f>
        <v>44418.818181818184</v>
      </c>
      <c r="G18" s="97">
        <f t="shared" si="0"/>
        <v>44418.818181818184</v>
      </c>
      <c r="H18" s="94"/>
      <c r="I18" s="98">
        <f t="shared" si="1"/>
        <v>0</v>
      </c>
      <c r="J18" s="160"/>
      <c r="K18" s="97">
        <f t="shared" si="2"/>
        <v>0</v>
      </c>
      <c r="L18" s="160"/>
      <c r="M18" s="97">
        <f t="shared" si="3"/>
        <v>0</v>
      </c>
      <c r="N18" s="99">
        <f t="shared" si="5"/>
        <v>44418.818181818184</v>
      </c>
      <c r="O18" s="100">
        <f t="shared" si="4"/>
        <v>44418.818181818184</v>
      </c>
    </row>
    <row r="19" spans="1:15" ht="14.4" x14ac:dyDescent="0.3">
      <c r="A19" s="93" t="s">
        <v>258</v>
      </c>
      <c r="B19" s="12" t="s">
        <v>7</v>
      </c>
      <c r="C19" s="13">
        <v>1</v>
      </c>
      <c r="D19" s="233">
        <f>65900/1.21</f>
        <v>54462.809917355371</v>
      </c>
      <c r="E19" s="261">
        <f t="shared" si="6"/>
        <v>54462.809917355371</v>
      </c>
      <c r="F19" s="260">
        <f>44293.7/1.21</f>
        <v>36606.363636363632</v>
      </c>
      <c r="G19" s="97">
        <f t="shared" si="0"/>
        <v>36606.363636363632</v>
      </c>
      <c r="H19" s="94"/>
      <c r="I19" s="98">
        <f t="shared" si="1"/>
        <v>0</v>
      </c>
      <c r="J19" s="160"/>
      <c r="K19" s="97">
        <f t="shared" si="2"/>
        <v>0</v>
      </c>
      <c r="L19" s="160"/>
      <c r="M19" s="97">
        <f t="shared" si="3"/>
        <v>0</v>
      </c>
      <c r="N19" s="99">
        <f t="shared" si="5"/>
        <v>36606.363636363632</v>
      </c>
      <c r="O19" s="100">
        <f t="shared" si="4"/>
        <v>36606.363636363632</v>
      </c>
    </row>
    <row r="20" spans="1:15" ht="14.4" x14ac:dyDescent="0.3">
      <c r="A20" s="93" t="s">
        <v>259</v>
      </c>
      <c r="B20" s="12" t="s">
        <v>7</v>
      </c>
      <c r="C20" s="13">
        <v>1</v>
      </c>
      <c r="D20" s="233">
        <f>54900/1.21</f>
        <v>45371.900826446283</v>
      </c>
      <c r="E20" s="261">
        <f t="shared" si="6"/>
        <v>45371.900826446283</v>
      </c>
      <c r="F20" s="260">
        <f>39178.17/1.21</f>
        <v>32378.652892561982</v>
      </c>
      <c r="G20" s="97">
        <f t="shared" si="0"/>
        <v>32378.652892561982</v>
      </c>
      <c r="H20" s="94">
        <f>42576.2/1.21</f>
        <v>35186.942148760332</v>
      </c>
      <c r="I20" s="98">
        <f t="shared" si="1"/>
        <v>35186.942148760332</v>
      </c>
      <c r="J20" s="160">
        <v>35722.44</v>
      </c>
      <c r="K20" s="97">
        <f t="shared" si="2"/>
        <v>35722.44</v>
      </c>
      <c r="L20" s="160"/>
      <c r="M20" s="97">
        <f t="shared" si="3"/>
        <v>0</v>
      </c>
      <c r="N20" s="99">
        <f t="shared" si="5"/>
        <v>32378.652892561982</v>
      </c>
      <c r="O20" s="100">
        <f t="shared" si="4"/>
        <v>32378.652892561982</v>
      </c>
    </row>
    <row r="21" spans="1:15" ht="15.75" customHeight="1" x14ac:dyDescent="0.3">
      <c r="A21" s="93" t="s">
        <v>260</v>
      </c>
      <c r="B21" s="12" t="s">
        <v>7</v>
      </c>
      <c r="C21" s="13">
        <v>1</v>
      </c>
      <c r="D21" s="233"/>
      <c r="E21" s="261">
        <f t="shared" si="6"/>
        <v>0</v>
      </c>
      <c r="F21" s="262">
        <f>33282.44/1.21</f>
        <v>27506.14876033058</v>
      </c>
      <c r="G21" s="97">
        <f t="shared" si="0"/>
        <v>27506.14876033058</v>
      </c>
      <c r="H21" s="232">
        <f>29820.98/1.21</f>
        <v>24645.438016528926</v>
      </c>
      <c r="I21" s="98">
        <f t="shared" si="1"/>
        <v>24645.438016528926</v>
      </c>
      <c r="J21" s="160"/>
      <c r="K21" s="97">
        <f t="shared" si="2"/>
        <v>0</v>
      </c>
      <c r="L21" s="160"/>
      <c r="M21" s="97">
        <f t="shared" si="3"/>
        <v>0</v>
      </c>
      <c r="N21" s="99">
        <f t="shared" si="5"/>
        <v>24645.438016528926</v>
      </c>
      <c r="O21" s="100">
        <f t="shared" si="4"/>
        <v>24645.438016528926</v>
      </c>
    </row>
    <row r="22" spans="1:15" ht="15.75" customHeight="1" x14ac:dyDescent="0.3">
      <c r="A22" s="93" t="s">
        <v>261</v>
      </c>
      <c r="B22" s="12" t="s">
        <v>7</v>
      </c>
      <c r="C22" s="13">
        <v>30</v>
      </c>
      <c r="D22" s="232">
        <f>140/1.21</f>
        <v>115.70247933884298</v>
      </c>
      <c r="E22" s="261">
        <f t="shared" si="6"/>
        <v>3471.0743801652893</v>
      </c>
      <c r="F22" s="262">
        <f>194.42/1.21</f>
        <v>160.67768595041321</v>
      </c>
      <c r="G22" s="97">
        <f t="shared" si="0"/>
        <v>4820.3305785123957</v>
      </c>
      <c r="H22" s="94">
        <f>145.539/1.21</f>
        <v>120.28016528925619</v>
      </c>
      <c r="I22" s="98">
        <f t="shared" si="1"/>
        <v>3608.4049586776855</v>
      </c>
      <c r="J22" s="160">
        <v>140.251</v>
      </c>
      <c r="K22" s="97">
        <f t="shared" si="2"/>
        <v>4207.53</v>
      </c>
      <c r="L22" s="160"/>
      <c r="M22" s="97">
        <f t="shared" si="3"/>
        <v>0</v>
      </c>
      <c r="N22" s="99">
        <f t="shared" si="5"/>
        <v>115.70247933884298</v>
      </c>
      <c r="O22" s="100">
        <f t="shared" si="4"/>
        <v>3471.0743801652893</v>
      </c>
    </row>
    <row r="23" spans="1:15" ht="15.75" customHeight="1" x14ac:dyDescent="0.3">
      <c r="A23" s="93" t="s">
        <v>262</v>
      </c>
      <c r="B23" s="12" t="s">
        <v>7</v>
      </c>
      <c r="C23" s="13">
        <v>3</v>
      </c>
      <c r="D23" s="233">
        <f>6307/1.21</f>
        <v>5212.3966942148763</v>
      </c>
      <c r="E23" s="261">
        <f t="shared" si="6"/>
        <v>15637.190082644629</v>
      </c>
      <c r="F23" s="260">
        <f>5738.14/1.21</f>
        <v>4742.2644628099179</v>
      </c>
      <c r="G23" s="97">
        <f t="shared" si="0"/>
        <v>14226.793388429753</v>
      </c>
      <c r="H23" s="94">
        <f>6803.303</f>
        <v>6803.3029999999999</v>
      </c>
      <c r="I23" s="98">
        <f t="shared" si="1"/>
        <v>20409.909</v>
      </c>
      <c r="J23" s="160">
        <v>7065.9750000000004</v>
      </c>
      <c r="K23" s="97">
        <f t="shared" si="2"/>
        <v>21197.925000000003</v>
      </c>
      <c r="L23" s="160"/>
      <c r="M23" s="97">
        <f t="shared" si="3"/>
        <v>0</v>
      </c>
      <c r="N23" s="99">
        <f t="shared" si="5"/>
        <v>4742.2644628099179</v>
      </c>
      <c r="O23" s="100">
        <f t="shared" si="4"/>
        <v>14226.793388429753</v>
      </c>
    </row>
    <row r="24" spans="1:15" ht="15.75" customHeight="1" thickBot="1" x14ac:dyDescent="0.35">
      <c r="A24" s="109"/>
      <c r="B24" s="110"/>
      <c r="C24" s="25"/>
      <c r="D24" s="263"/>
      <c r="E24" s="264"/>
      <c r="F24" s="265"/>
      <c r="G24" s="114"/>
      <c r="H24" s="111"/>
      <c r="I24" s="115"/>
      <c r="J24" s="113"/>
      <c r="K24" s="114"/>
      <c r="L24" s="113"/>
      <c r="M24" s="114"/>
      <c r="N24" s="116"/>
      <c r="O24" s="117"/>
    </row>
    <row r="25" spans="1:15" ht="15.75" customHeight="1" thickBot="1" x14ac:dyDescent="0.35">
      <c r="A25" s="272" t="s">
        <v>66</v>
      </c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4"/>
    </row>
    <row r="26" spans="1:15" ht="15.75" customHeight="1" thickBot="1" x14ac:dyDescent="0.35">
      <c r="A26" s="32" t="s">
        <v>17</v>
      </c>
      <c r="B26" s="274"/>
      <c r="C26" s="275"/>
      <c r="D26" s="118"/>
      <c r="E26" s="119">
        <f>+SUM(E12:E24)</f>
        <v>2282000.8264462813</v>
      </c>
      <c r="F26" s="33"/>
      <c r="G26" s="120">
        <f>+SUM(G12:G24)</f>
        <v>2379145.3057851242</v>
      </c>
      <c r="H26" s="33"/>
      <c r="I26" s="120">
        <f>+SUM(I12:I25)</f>
        <v>2081034.2494958679</v>
      </c>
      <c r="J26" s="33"/>
      <c r="K26" s="120">
        <f>+SUM(K12:K24)</f>
        <v>1674297.375</v>
      </c>
      <c r="L26" s="33"/>
      <c r="M26" s="120">
        <f>+SUM(M12:M25)</f>
        <v>0</v>
      </c>
      <c r="N26" s="36"/>
      <c r="O26" s="120">
        <f>+SUM(O12:O25)</f>
        <v>2104906.5950413221</v>
      </c>
    </row>
    <row r="27" spans="1:15" ht="15.75" customHeight="1" thickBot="1" x14ac:dyDescent="0.35">
      <c r="A27" s="37"/>
      <c r="B27" s="38"/>
      <c r="C27" s="38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</row>
    <row r="28" spans="1:15" ht="15.75" customHeight="1" x14ac:dyDescent="0.3">
      <c r="A28" s="40" t="s">
        <v>18</v>
      </c>
      <c r="B28" s="276"/>
      <c r="C28" s="271"/>
      <c r="D28" s="122">
        <v>0</v>
      </c>
      <c r="E28" s="123">
        <f>+E26*D28</f>
        <v>0</v>
      </c>
      <c r="F28" s="41">
        <v>0</v>
      </c>
      <c r="G28" s="124">
        <f>+G26*F28</f>
        <v>0</v>
      </c>
      <c r="H28" s="41">
        <v>0</v>
      </c>
      <c r="I28" s="124">
        <f>+I26*H28</f>
        <v>0</v>
      </c>
      <c r="J28" s="41">
        <v>0</v>
      </c>
      <c r="K28" s="124">
        <f>+K26*J28</f>
        <v>0</v>
      </c>
      <c r="L28" s="41">
        <v>0</v>
      </c>
      <c r="M28" s="124">
        <f>+M26*L28</f>
        <v>0</v>
      </c>
      <c r="N28" s="125"/>
      <c r="O28" s="124">
        <f>+O26*N28</f>
        <v>0</v>
      </c>
    </row>
    <row r="29" spans="1:15" ht="15.75" customHeight="1" x14ac:dyDescent="0.3">
      <c r="A29" s="45" t="s">
        <v>19</v>
      </c>
      <c r="B29" s="277">
        <v>1</v>
      </c>
      <c r="C29" s="278"/>
      <c r="D29" s="126"/>
      <c r="E29" s="127"/>
      <c r="F29" s="126"/>
      <c r="G29" s="128"/>
      <c r="H29" s="126"/>
      <c r="I29" s="128"/>
      <c r="J29" s="126"/>
      <c r="K29" s="128"/>
      <c r="L29" s="126"/>
      <c r="M29" s="128"/>
      <c r="N29" s="129"/>
      <c r="O29" s="128"/>
    </row>
    <row r="30" spans="1:15" ht="15.75" customHeight="1" x14ac:dyDescent="0.3">
      <c r="A30" s="45" t="s">
        <v>20</v>
      </c>
      <c r="B30" s="277"/>
      <c r="C30" s="278"/>
      <c r="D30" s="126"/>
      <c r="E30" s="127">
        <f>+E26-E28</f>
        <v>2282000.8264462813</v>
      </c>
      <c r="F30" s="126"/>
      <c r="G30" s="128">
        <f>+G26-G28</f>
        <v>2379145.3057851242</v>
      </c>
      <c r="H30" s="126"/>
      <c r="I30" s="128">
        <f>+I26-I28</f>
        <v>2081034.2494958679</v>
      </c>
      <c r="J30" s="126"/>
      <c r="K30" s="128">
        <f>+K26-K28</f>
        <v>1674297.375</v>
      </c>
      <c r="L30" s="126"/>
      <c r="M30" s="128">
        <f>+M26-M28</f>
        <v>0</v>
      </c>
      <c r="N30" s="129"/>
      <c r="O30" s="128">
        <f>+O26-O28</f>
        <v>2104906.5950413221</v>
      </c>
    </row>
    <row r="31" spans="1:15" ht="15.75" customHeight="1" x14ac:dyDescent="0.3">
      <c r="A31" s="45" t="s">
        <v>21</v>
      </c>
      <c r="B31" s="279">
        <v>0.21</v>
      </c>
      <c r="C31" s="278"/>
      <c r="D31" s="126"/>
      <c r="E31" s="127">
        <f>(+E30)*B31</f>
        <v>479220.17355371907</v>
      </c>
      <c r="F31" s="126"/>
      <c r="G31" s="128">
        <f>(+G30)*B31</f>
        <v>499620.51421487605</v>
      </c>
      <c r="H31" s="126"/>
      <c r="I31" s="128">
        <f>(+I30)*B31</f>
        <v>437017.19239413226</v>
      </c>
      <c r="J31" s="126"/>
      <c r="K31" s="128">
        <f>(+K30)*B31</f>
        <v>351602.44874999998</v>
      </c>
      <c r="L31" s="126"/>
      <c r="M31" s="128">
        <f>(+M30)*B31</f>
        <v>0</v>
      </c>
      <c r="N31" s="129"/>
      <c r="O31" s="128">
        <f>O30*B31</f>
        <v>442030.38495867763</v>
      </c>
    </row>
    <row r="32" spans="1:15" ht="15.75" customHeight="1" x14ac:dyDescent="0.3">
      <c r="A32" s="50" t="s">
        <v>22</v>
      </c>
      <c r="B32" s="51"/>
      <c r="C32" s="52"/>
      <c r="D32" s="130"/>
      <c r="E32" s="131"/>
      <c r="F32" s="130"/>
      <c r="G32" s="132"/>
      <c r="H32" s="130"/>
      <c r="I32" s="132"/>
      <c r="J32" s="130"/>
      <c r="K32" s="132"/>
      <c r="L32" s="130"/>
      <c r="M32" s="132"/>
      <c r="N32" s="133"/>
      <c r="O32" s="132"/>
    </row>
    <row r="33" spans="1:15" ht="15.75" customHeight="1" thickBot="1" x14ac:dyDescent="0.35">
      <c r="A33" s="57" t="s">
        <v>45</v>
      </c>
      <c r="B33" s="58"/>
      <c r="C33" s="59"/>
      <c r="D33" s="134"/>
      <c r="E33" s="135"/>
      <c r="F33" s="134"/>
      <c r="G33" s="136">
        <f>5000*8</f>
        <v>40000</v>
      </c>
      <c r="H33" s="134"/>
      <c r="I33" s="136"/>
      <c r="J33" s="134"/>
      <c r="K33" s="136"/>
      <c r="L33" s="134"/>
      <c r="M33" s="136"/>
      <c r="N33" s="137"/>
      <c r="O33" s="136"/>
    </row>
    <row r="34" spans="1:15" ht="15.75" customHeight="1" thickBot="1" x14ac:dyDescent="0.35">
      <c r="A34" s="37"/>
      <c r="B34" s="38"/>
      <c r="C34" s="38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</row>
    <row r="35" spans="1:15" ht="15.75" customHeight="1" thickBot="1" x14ac:dyDescent="0.35">
      <c r="A35" s="66" t="s">
        <v>23</v>
      </c>
      <c r="B35" s="67"/>
      <c r="C35" s="68"/>
      <c r="D35" s="69"/>
      <c r="E35" s="138">
        <f>+E30+E31+E33+E32</f>
        <v>2761221.0000000005</v>
      </c>
      <c r="F35" s="139"/>
      <c r="G35" s="138">
        <f>+G30+G31+G33+G32</f>
        <v>2918765.8200000003</v>
      </c>
      <c r="H35" s="139"/>
      <c r="I35" s="138">
        <f>+I30+I31+I33+I32</f>
        <v>2518051.4418900004</v>
      </c>
      <c r="J35" s="139"/>
      <c r="K35" s="138">
        <f>+K30+K31+K33+K32</f>
        <v>2025899.82375</v>
      </c>
      <c r="L35" s="69"/>
      <c r="M35" s="72">
        <f>+M30+M31+M33+M32</f>
        <v>0</v>
      </c>
      <c r="N35" s="69"/>
      <c r="O35" s="138">
        <f>SUM(O30:O33)</f>
        <v>2546936.9799999995</v>
      </c>
    </row>
    <row r="36" spans="1:15" ht="15.75" customHeight="1" thickBot="1" x14ac:dyDescent="0.35">
      <c r="A36" s="73" t="s">
        <v>24</v>
      </c>
      <c r="B36" s="280"/>
      <c r="C36" s="269"/>
      <c r="D36" s="266"/>
      <c r="E36" s="269"/>
      <c r="F36" s="266"/>
      <c r="G36" s="269"/>
      <c r="H36" s="266"/>
      <c r="I36" s="269"/>
      <c r="J36" s="289"/>
      <c r="K36" s="269"/>
      <c r="L36" s="289"/>
      <c r="M36" s="269"/>
      <c r="N36" s="308"/>
      <c r="O36" s="269"/>
    </row>
    <row r="37" spans="1:15" ht="15.75" customHeight="1" x14ac:dyDescent="0.3"/>
    <row r="38" spans="1:15" ht="15.75" customHeight="1" x14ac:dyDescent="0.3"/>
    <row r="39" spans="1:15" ht="15.75" customHeight="1" x14ac:dyDescent="0.3"/>
    <row r="40" spans="1:15" ht="15.75" customHeight="1" x14ac:dyDescent="0.3"/>
    <row r="41" spans="1:15" ht="15.75" customHeight="1" x14ac:dyDescent="0.3"/>
    <row r="42" spans="1:15" ht="15.75" customHeight="1" x14ac:dyDescent="0.3"/>
    <row r="43" spans="1:15" ht="15.75" customHeight="1" x14ac:dyDescent="0.3"/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23">
    <mergeCell ref="B31:C31"/>
    <mergeCell ref="A8:O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A25:N25"/>
    <mergeCell ref="B26:C26"/>
    <mergeCell ref="B28:C28"/>
    <mergeCell ref="B29:C29"/>
    <mergeCell ref="B30:C30"/>
    <mergeCell ref="N36:O36"/>
    <mergeCell ref="B36:C36"/>
    <mergeCell ref="D36:E36"/>
    <mergeCell ref="F36:G36"/>
    <mergeCell ref="H36:I36"/>
    <mergeCell ref="J36:K36"/>
    <mergeCell ref="L36:M36"/>
  </mergeCells>
  <pageMargins left="0.7" right="0.7" top="0.75" bottom="0.75" header="0" footer="0"/>
  <pageSetup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72B6-E453-4D93-B775-8717D04A6532}">
  <dimension ref="A1:O994"/>
  <sheetViews>
    <sheetView topLeftCell="A7" workbookViewId="0">
      <selection activeCell="C18" sqref="C18"/>
    </sheetView>
  </sheetViews>
  <sheetFormatPr baseColWidth="10" defaultColWidth="14.44140625" defaultRowHeight="15" customHeight="1" x14ac:dyDescent="0.3"/>
  <cols>
    <col min="1" max="1" width="23.6640625" style="228" customWidth="1"/>
    <col min="2" max="3" width="10.6640625" style="228" customWidth="1"/>
    <col min="4" max="4" width="11" style="228" bestFit="1" customWidth="1"/>
    <col min="5" max="5" width="14" style="228" bestFit="1" customWidth="1"/>
    <col min="6" max="6" width="11" style="228" bestFit="1" customWidth="1"/>
    <col min="7" max="7" width="14" style="228" bestFit="1" customWidth="1"/>
    <col min="8" max="8" width="11" style="228" bestFit="1" customWidth="1"/>
    <col min="9" max="9" width="14" style="228" bestFit="1" customWidth="1"/>
    <col min="10" max="11" width="10.6640625" style="228" customWidth="1"/>
    <col min="12" max="13" width="10.6640625" style="228" hidden="1" customWidth="1"/>
    <col min="14" max="14" width="11.109375" style="228" bestFit="1" customWidth="1"/>
    <col min="15" max="15" width="14" style="228" bestFit="1" customWidth="1"/>
    <col min="16" max="26" width="10.6640625" style="228" customWidth="1"/>
    <col min="27" max="16384" width="14.44140625" style="228"/>
  </cols>
  <sheetData>
    <row r="1" spans="1:15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196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5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 x14ac:dyDescent="0.3">
      <c r="A6" s="5" t="s">
        <v>223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5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14.4" x14ac:dyDescent="0.3">
      <c r="A10" s="310" t="s">
        <v>6</v>
      </c>
      <c r="B10" s="311" t="s">
        <v>7</v>
      </c>
      <c r="C10" s="312" t="s">
        <v>8</v>
      </c>
      <c r="D10" s="307" t="s">
        <v>32</v>
      </c>
      <c r="E10" s="313"/>
      <c r="F10" s="313"/>
      <c r="G10" s="314"/>
      <c r="H10" s="309" t="s">
        <v>31</v>
      </c>
      <c r="I10" s="282"/>
      <c r="J10" s="307" t="s">
        <v>194</v>
      </c>
      <c r="K10" s="271"/>
      <c r="L10" s="307"/>
      <c r="M10" s="271"/>
      <c r="N10" s="307" t="s">
        <v>12</v>
      </c>
      <c r="O10" s="271"/>
    </row>
    <row r="11" spans="1:15" thickBot="1" x14ac:dyDescent="0.35">
      <c r="A11" s="294"/>
      <c r="B11" s="292"/>
      <c r="C11" s="292"/>
      <c r="D11" s="89" t="s">
        <v>13</v>
      </c>
      <c r="E11" s="90" t="s">
        <v>14</v>
      </c>
      <c r="F11" s="91" t="s">
        <v>13</v>
      </c>
      <c r="G11" s="90" t="s">
        <v>14</v>
      </c>
      <c r="H11" s="89" t="s">
        <v>13</v>
      </c>
      <c r="I11" s="92" t="s">
        <v>14</v>
      </c>
      <c r="J11" s="91" t="s">
        <v>13</v>
      </c>
      <c r="K11" s="90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</row>
    <row r="12" spans="1:15" ht="14.4" x14ac:dyDescent="0.3">
      <c r="A12" s="93" t="s">
        <v>215</v>
      </c>
      <c r="B12" s="12" t="s">
        <v>7</v>
      </c>
      <c r="C12" s="13">
        <v>80</v>
      </c>
      <c r="D12" s="94">
        <f>8690/1.21</f>
        <v>7181.818181818182</v>
      </c>
      <c r="E12" s="95">
        <f>D12*C12</f>
        <v>574545.45454545459</v>
      </c>
      <c r="F12" s="94">
        <f>8690/1.21</f>
        <v>7181.818181818182</v>
      </c>
      <c r="G12" s="97">
        <f>C12*F12</f>
        <v>574545.45454545459</v>
      </c>
      <c r="H12" s="233">
        <f>739632.8/80/1.21</f>
        <v>7640.8347107438021</v>
      </c>
      <c r="I12" s="98">
        <f t="shared" ref="I12:I21" si="0">C12*H12</f>
        <v>611266.77685950417</v>
      </c>
      <c r="J12" s="160"/>
      <c r="K12" s="97">
        <f t="shared" ref="K12:K21" si="1">C12*J12</f>
        <v>0</v>
      </c>
      <c r="L12" s="160"/>
      <c r="M12" s="97">
        <f t="shared" ref="M12:M21" si="2">C12*L12</f>
        <v>0</v>
      </c>
      <c r="N12" s="99">
        <f t="shared" ref="N12:N21" si="3">MIN(D12,F12,H12,J12,L12)</f>
        <v>7181.818181818182</v>
      </c>
      <c r="O12" s="100">
        <f t="shared" ref="O12:O21" si="4">N12*C12</f>
        <v>574545.45454545459</v>
      </c>
    </row>
    <row r="13" spans="1:15" ht="14.4" x14ac:dyDescent="0.3">
      <c r="A13" s="101" t="s">
        <v>216</v>
      </c>
      <c r="B13" s="12" t="s">
        <v>7</v>
      </c>
      <c r="C13" s="13">
        <v>100</v>
      </c>
      <c r="D13" s="94">
        <f>6200/1.21</f>
        <v>5123.9669421487606</v>
      </c>
      <c r="E13" s="95">
        <f t="shared" ref="E13:E21" si="5">D13*C13</f>
        <v>512396.69421487604</v>
      </c>
      <c r="F13" s="94">
        <f>6200/1.21</f>
        <v>5123.9669421487606</v>
      </c>
      <c r="G13" s="97">
        <f t="shared" ref="G13:G21" si="6">C13*F13</f>
        <v>512396.69421487604</v>
      </c>
      <c r="H13" s="233">
        <f>6780.22/1.21</f>
        <v>5603.4876033057853</v>
      </c>
      <c r="I13" s="98">
        <f t="shared" si="0"/>
        <v>560348.76033057855</v>
      </c>
      <c r="J13" s="160"/>
      <c r="K13" s="97">
        <f t="shared" si="1"/>
        <v>0</v>
      </c>
      <c r="L13" s="160"/>
      <c r="M13" s="97">
        <f t="shared" si="2"/>
        <v>0</v>
      </c>
      <c r="N13" s="99">
        <f t="shared" si="3"/>
        <v>5123.9669421487606</v>
      </c>
      <c r="O13" s="100">
        <f t="shared" si="4"/>
        <v>512396.69421487604</v>
      </c>
    </row>
    <row r="14" spans="1:15" ht="14.4" x14ac:dyDescent="0.3">
      <c r="A14" s="101" t="s">
        <v>217</v>
      </c>
      <c r="B14" s="12" t="s">
        <v>7</v>
      </c>
      <c r="C14" s="13">
        <v>450</v>
      </c>
      <c r="D14" s="232">
        <f>700/1.21</f>
        <v>578.51239669421489</v>
      </c>
      <c r="E14" s="95">
        <f t="shared" si="5"/>
        <v>260330.57851239669</v>
      </c>
      <c r="F14" s="160"/>
      <c r="G14" s="97">
        <f t="shared" si="6"/>
        <v>0</v>
      </c>
      <c r="H14" s="94"/>
      <c r="I14" s="98">
        <f t="shared" si="0"/>
        <v>0</v>
      </c>
      <c r="J14" s="160"/>
      <c r="K14" s="97">
        <f t="shared" si="1"/>
        <v>0</v>
      </c>
      <c r="L14" s="160"/>
      <c r="M14" s="97">
        <f t="shared" si="2"/>
        <v>0</v>
      </c>
      <c r="N14" s="99">
        <f t="shared" si="3"/>
        <v>578.51239669421489</v>
      </c>
      <c r="O14" s="100">
        <f t="shared" si="4"/>
        <v>260330.57851239669</v>
      </c>
    </row>
    <row r="15" spans="1:15" ht="14.4" x14ac:dyDescent="0.3">
      <c r="A15" s="230" t="s">
        <v>222</v>
      </c>
      <c r="B15" s="12" t="s">
        <v>7</v>
      </c>
      <c r="C15" s="13">
        <f>90*5</f>
        <v>450</v>
      </c>
      <c r="D15" s="231"/>
      <c r="E15" s="95"/>
      <c r="F15" s="160">
        <f>749/1.21</f>
        <v>619.00826446280996</v>
      </c>
      <c r="G15" s="97">
        <f t="shared" si="6"/>
        <v>278553.71900826448</v>
      </c>
      <c r="H15" s="231">
        <f>786.43/1.21</f>
        <v>649.94214876033061</v>
      </c>
      <c r="I15" s="98">
        <f t="shared" si="0"/>
        <v>292473.96694214875</v>
      </c>
      <c r="J15" s="160"/>
      <c r="K15" s="97"/>
      <c r="L15" s="160"/>
      <c r="M15" s="97"/>
      <c r="N15" s="99"/>
      <c r="O15" s="100"/>
    </row>
    <row r="16" spans="1:15" ht="14.4" x14ac:dyDescent="0.3">
      <c r="A16" s="93" t="s">
        <v>218</v>
      </c>
      <c r="B16" s="12" t="s">
        <v>221</v>
      </c>
      <c r="C16" s="13">
        <v>2</v>
      </c>
      <c r="D16" s="232">
        <f>31500/1.21</f>
        <v>26033.057851239671</v>
      </c>
      <c r="E16" s="95">
        <f t="shared" si="5"/>
        <v>52066.115702479343</v>
      </c>
      <c r="F16" s="94">
        <f>31500/1.21</f>
        <v>26033.057851239671</v>
      </c>
      <c r="G16" s="97">
        <f t="shared" si="6"/>
        <v>52066.115702479343</v>
      </c>
      <c r="H16" s="94">
        <f>33525.53/1.21</f>
        <v>27707.049586776859</v>
      </c>
      <c r="I16" s="98">
        <f t="shared" si="0"/>
        <v>55414.099173553717</v>
      </c>
      <c r="J16" s="160"/>
      <c r="K16" s="97">
        <f t="shared" si="1"/>
        <v>0</v>
      </c>
      <c r="L16" s="160"/>
      <c r="M16" s="97">
        <f t="shared" si="2"/>
        <v>0</v>
      </c>
      <c r="N16" s="99">
        <f t="shared" si="3"/>
        <v>26033.057851239671</v>
      </c>
      <c r="O16" s="100">
        <f t="shared" si="4"/>
        <v>52066.115702479343</v>
      </c>
    </row>
    <row r="17" spans="1:15" ht="14.4" x14ac:dyDescent="0.3">
      <c r="A17" s="93" t="s">
        <v>219</v>
      </c>
      <c r="B17" s="12" t="s">
        <v>221</v>
      </c>
      <c r="C17" s="13">
        <v>8</v>
      </c>
      <c r="D17" s="232">
        <f>12500/1.21</f>
        <v>10330.578512396694</v>
      </c>
      <c r="E17" s="95">
        <f t="shared" si="5"/>
        <v>82644.628099173555</v>
      </c>
      <c r="F17" s="94">
        <f>12500/1.21</f>
        <v>10330.578512396694</v>
      </c>
      <c r="G17" s="97">
        <f t="shared" si="6"/>
        <v>82644.628099173555</v>
      </c>
      <c r="H17" s="94">
        <f>20715.72/1.21</f>
        <v>17120.429752066117</v>
      </c>
      <c r="I17" s="98">
        <f t="shared" si="0"/>
        <v>136963.43801652893</v>
      </c>
      <c r="J17" s="160"/>
      <c r="K17" s="97">
        <f t="shared" si="1"/>
        <v>0</v>
      </c>
      <c r="L17" s="160"/>
      <c r="M17" s="97">
        <f t="shared" si="2"/>
        <v>0</v>
      </c>
      <c r="N17" s="99">
        <f t="shared" si="3"/>
        <v>10330.578512396694</v>
      </c>
      <c r="O17" s="100">
        <f t="shared" si="4"/>
        <v>82644.628099173555</v>
      </c>
    </row>
    <row r="18" spans="1:15" ht="14.4" x14ac:dyDescent="0.3">
      <c r="A18" s="93" t="s">
        <v>220</v>
      </c>
      <c r="B18" s="12" t="s">
        <v>221</v>
      </c>
      <c r="C18" s="13">
        <v>1</v>
      </c>
      <c r="D18" s="232">
        <f>43900/1.21</f>
        <v>36280.991735537194</v>
      </c>
      <c r="E18" s="95">
        <f t="shared" si="5"/>
        <v>36280.991735537194</v>
      </c>
      <c r="F18" s="94">
        <f>43900/1.21</f>
        <v>36280.991735537194</v>
      </c>
      <c r="G18" s="97">
        <f t="shared" si="6"/>
        <v>36280.991735537194</v>
      </c>
      <c r="H18" s="94">
        <f>48394.79/1.21</f>
        <v>39995.694214876035</v>
      </c>
      <c r="I18" s="98">
        <f t="shared" si="0"/>
        <v>39995.694214876035</v>
      </c>
      <c r="J18" s="160"/>
      <c r="K18" s="97">
        <f t="shared" si="1"/>
        <v>0</v>
      </c>
      <c r="L18" s="160"/>
      <c r="M18" s="97">
        <f t="shared" si="2"/>
        <v>0</v>
      </c>
      <c r="N18" s="99">
        <f t="shared" si="3"/>
        <v>36280.991735537194</v>
      </c>
      <c r="O18" s="100">
        <f t="shared" si="4"/>
        <v>36280.991735537194</v>
      </c>
    </row>
    <row r="19" spans="1:15" ht="14.4" x14ac:dyDescent="0.3">
      <c r="A19" s="93"/>
      <c r="B19" s="12"/>
      <c r="C19" s="13"/>
      <c r="D19" s="94"/>
      <c r="E19" s="95">
        <f t="shared" si="5"/>
        <v>0</v>
      </c>
      <c r="F19" s="160"/>
      <c r="G19" s="97">
        <f t="shared" si="6"/>
        <v>0</v>
      </c>
      <c r="H19" s="94"/>
      <c r="I19" s="98">
        <f t="shared" si="0"/>
        <v>0</v>
      </c>
      <c r="J19" s="160"/>
      <c r="K19" s="97">
        <f t="shared" si="1"/>
        <v>0</v>
      </c>
      <c r="L19" s="160"/>
      <c r="M19" s="97">
        <f t="shared" si="2"/>
        <v>0</v>
      </c>
      <c r="N19" s="99">
        <f t="shared" si="3"/>
        <v>0</v>
      </c>
      <c r="O19" s="100">
        <f t="shared" si="4"/>
        <v>0</v>
      </c>
    </row>
    <row r="20" spans="1:15" ht="14.4" x14ac:dyDescent="0.3">
      <c r="A20" s="93"/>
      <c r="B20" s="12"/>
      <c r="C20" s="13"/>
      <c r="D20" s="94"/>
      <c r="E20" s="95">
        <f t="shared" si="5"/>
        <v>0</v>
      </c>
      <c r="F20" s="160"/>
      <c r="G20" s="97">
        <f t="shared" si="6"/>
        <v>0</v>
      </c>
      <c r="H20" s="94"/>
      <c r="I20" s="98">
        <f t="shared" si="0"/>
        <v>0</v>
      </c>
      <c r="J20" s="160"/>
      <c r="K20" s="97">
        <f t="shared" si="1"/>
        <v>0</v>
      </c>
      <c r="L20" s="160"/>
      <c r="M20" s="97">
        <f t="shared" si="2"/>
        <v>0</v>
      </c>
      <c r="N20" s="99">
        <f t="shared" si="3"/>
        <v>0</v>
      </c>
      <c r="O20" s="100">
        <f t="shared" si="4"/>
        <v>0</v>
      </c>
    </row>
    <row r="21" spans="1:15" ht="14.4" x14ac:dyDescent="0.3">
      <c r="A21" s="93"/>
      <c r="B21" s="12"/>
      <c r="C21" s="13"/>
      <c r="D21" s="94"/>
      <c r="E21" s="95">
        <f t="shared" si="5"/>
        <v>0</v>
      </c>
      <c r="F21" s="160"/>
      <c r="G21" s="97">
        <f t="shared" si="6"/>
        <v>0</v>
      </c>
      <c r="H21" s="94"/>
      <c r="I21" s="98">
        <f t="shared" si="0"/>
        <v>0</v>
      </c>
      <c r="J21" s="160"/>
      <c r="K21" s="97">
        <f t="shared" si="1"/>
        <v>0</v>
      </c>
      <c r="L21" s="160"/>
      <c r="M21" s="97">
        <f t="shared" si="2"/>
        <v>0</v>
      </c>
      <c r="N21" s="99">
        <f t="shared" si="3"/>
        <v>0</v>
      </c>
      <c r="O21" s="100">
        <f t="shared" si="4"/>
        <v>0</v>
      </c>
    </row>
    <row r="22" spans="1:15" ht="15.75" customHeight="1" thickBot="1" x14ac:dyDescent="0.35">
      <c r="A22" s="109"/>
      <c r="B22" s="110"/>
      <c r="C22" s="25"/>
      <c r="D22" s="111"/>
      <c r="E22" s="112"/>
      <c r="F22" s="113"/>
      <c r="G22" s="114"/>
      <c r="H22" s="111"/>
      <c r="I22" s="115"/>
      <c r="J22" s="113"/>
      <c r="K22" s="114"/>
      <c r="L22" s="113"/>
      <c r="M22" s="114"/>
      <c r="N22" s="116"/>
      <c r="O22" s="117"/>
    </row>
    <row r="23" spans="1:15" ht="15.75" customHeight="1" thickBot="1" x14ac:dyDescent="0.35">
      <c r="A23" s="272" t="s">
        <v>66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4"/>
    </row>
    <row r="24" spans="1:15" ht="15.75" customHeight="1" thickBot="1" x14ac:dyDescent="0.35">
      <c r="A24" s="32" t="s">
        <v>17</v>
      </c>
      <c r="B24" s="274"/>
      <c r="C24" s="275"/>
      <c r="D24" s="118"/>
      <c r="E24" s="119">
        <f>+SUM(E12:E22)</f>
        <v>1518264.4628099175</v>
      </c>
      <c r="F24" s="33"/>
      <c r="G24" s="120">
        <f>+SUM(G12:G22)</f>
        <v>1536487.6033057852</v>
      </c>
      <c r="H24" s="33"/>
      <c r="I24" s="120">
        <f>+SUM(I12:I20)</f>
        <v>1696462.7355371902</v>
      </c>
      <c r="J24" s="33"/>
      <c r="K24" s="120">
        <f>+SUM(K12:K22)</f>
        <v>0</v>
      </c>
      <c r="L24" s="33"/>
      <c r="M24" s="120">
        <f>+SUM(M12:M23)</f>
        <v>0</v>
      </c>
      <c r="N24" s="36"/>
      <c r="O24" s="120">
        <f>+SUM(O12:O23)</f>
        <v>1518264.4628099175</v>
      </c>
    </row>
    <row r="25" spans="1:15" ht="15.75" customHeight="1" thickBot="1" x14ac:dyDescent="0.35">
      <c r="A25" s="37"/>
      <c r="B25" s="38"/>
      <c r="C25" s="38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</row>
    <row r="26" spans="1:15" ht="15.75" customHeight="1" x14ac:dyDescent="0.3">
      <c r="A26" s="40" t="s">
        <v>18</v>
      </c>
      <c r="B26" s="276"/>
      <c r="C26" s="271"/>
      <c r="D26" s="122">
        <v>0</v>
      </c>
      <c r="E26" s="123">
        <f>+E24*D26</f>
        <v>0</v>
      </c>
      <c r="F26" s="41">
        <v>0</v>
      </c>
      <c r="G26" s="124">
        <f>+G24*F26</f>
        <v>0</v>
      </c>
      <c r="H26" s="41">
        <v>0</v>
      </c>
      <c r="I26" s="124">
        <f>+I24*H26</f>
        <v>0</v>
      </c>
      <c r="J26" s="41">
        <v>0</v>
      </c>
      <c r="K26" s="124">
        <f>+K24*J26</f>
        <v>0</v>
      </c>
      <c r="L26" s="41">
        <v>0</v>
      </c>
      <c r="M26" s="124">
        <f>+M24*L26</f>
        <v>0</v>
      </c>
      <c r="N26" s="125"/>
      <c r="O26" s="124">
        <f>+O24*N26</f>
        <v>0</v>
      </c>
    </row>
    <row r="27" spans="1:15" ht="15.75" customHeight="1" x14ac:dyDescent="0.3">
      <c r="A27" s="45" t="s">
        <v>19</v>
      </c>
      <c r="B27" s="277">
        <v>1</v>
      </c>
      <c r="C27" s="278"/>
      <c r="D27" s="126"/>
      <c r="E27" s="127"/>
      <c r="F27" s="126"/>
      <c r="G27" s="128"/>
      <c r="H27" s="126"/>
      <c r="I27" s="128"/>
      <c r="J27" s="126"/>
      <c r="K27" s="128"/>
      <c r="L27" s="126"/>
      <c r="M27" s="128"/>
      <c r="N27" s="129"/>
      <c r="O27" s="128"/>
    </row>
    <row r="28" spans="1:15" ht="15.75" customHeight="1" x14ac:dyDescent="0.3">
      <c r="A28" s="45" t="s">
        <v>20</v>
      </c>
      <c r="B28" s="277"/>
      <c r="C28" s="278"/>
      <c r="D28" s="126"/>
      <c r="E28" s="127">
        <f>+E24-E26</f>
        <v>1518264.4628099175</v>
      </c>
      <c r="F28" s="126"/>
      <c r="G28" s="128">
        <f>+G24-G26</f>
        <v>1536487.6033057852</v>
      </c>
      <c r="H28" s="126"/>
      <c r="I28" s="128">
        <f>+I24-I26</f>
        <v>1696462.7355371902</v>
      </c>
      <c r="J28" s="126"/>
      <c r="K28" s="128">
        <f>+K24-K26</f>
        <v>0</v>
      </c>
      <c r="L28" s="126"/>
      <c r="M28" s="128">
        <f>+M24-M26</f>
        <v>0</v>
      </c>
      <c r="N28" s="129"/>
      <c r="O28" s="128">
        <f>+O24-O26</f>
        <v>1518264.4628099175</v>
      </c>
    </row>
    <row r="29" spans="1:15" ht="15.75" customHeight="1" x14ac:dyDescent="0.3">
      <c r="A29" s="45" t="s">
        <v>21</v>
      </c>
      <c r="B29" s="279">
        <v>0.21</v>
      </c>
      <c r="C29" s="278"/>
      <c r="D29" s="126"/>
      <c r="E29" s="127">
        <f>(+E28)*B29</f>
        <v>318835.53719008266</v>
      </c>
      <c r="F29" s="126"/>
      <c r="G29" s="128">
        <f>(+G28)*B29</f>
        <v>322662.3966942149</v>
      </c>
      <c r="H29" s="126"/>
      <c r="I29" s="128">
        <f>(+I28)*B29</f>
        <v>356257.17446280993</v>
      </c>
      <c r="J29" s="126"/>
      <c r="K29" s="128">
        <f>(+K28)*B29</f>
        <v>0</v>
      </c>
      <c r="L29" s="126"/>
      <c r="M29" s="128">
        <f>(+M28)*B29</f>
        <v>0</v>
      </c>
      <c r="N29" s="129"/>
      <c r="O29" s="128">
        <f>O28*B29</f>
        <v>318835.53719008266</v>
      </c>
    </row>
    <row r="30" spans="1:15" ht="15.75" customHeight="1" x14ac:dyDescent="0.3">
      <c r="A30" s="50" t="s">
        <v>22</v>
      </c>
      <c r="B30" s="51"/>
      <c r="C30" s="52"/>
      <c r="D30" s="130"/>
      <c r="E30" s="131"/>
      <c r="F30" s="130"/>
      <c r="G30" s="132"/>
      <c r="H30" s="130"/>
      <c r="I30" s="132"/>
      <c r="J30" s="130"/>
      <c r="K30" s="132"/>
      <c r="L30" s="130"/>
      <c r="M30" s="132"/>
      <c r="N30" s="133"/>
      <c r="O30" s="132"/>
    </row>
    <row r="31" spans="1:15" ht="15.75" customHeight="1" thickBot="1" x14ac:dyDescent="0.35">
      <c r="A31" s="57" t="s">
        <v>45</v>
      </c>
      <c r="B31" s="58"/>
      <c r="C31" s="59"/>
      <c r="D31" s="134"/>
      <c r="E31" s="135"/>
      <c r="F31" s="134"/>
      <c r="G31" s="136"/>
      <c r="H31" s="134"/>
      <c r="I31" s="136"/>
      <c r="J31" s="134"/>
      <c r="K31" s="136"/>
      <c r="L31" s="134"/>
      <c r="M31" s="136"/>
      <c r="N31" s="137"/>
      <c r="O31" s="136"/>
    </row>
    <row r="32" spans="1:15" ht="15.75" customHeight="1" thickBot="1" x14ac:dyDescent="0.35">
      <c r="A32" s="37"/>
      <c r="B32" s="38"/>
      <c r="C32" s="38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</row>
    <row r="33" spans="1:15" ht="15.75" customHeight="1" thickBot="1" x14ac:dyDescent="0.35">
      <c r="A33" s="66" t="s">
        <v>23</v>
      </c>
      <c r="B33" s="67"/>
      <c r="C33" s="68"/>
      <c r="D33" s="69"/>
      <c r="E33" s="138">
        <f>+E28+E29+E31+E30</f>
        <v>1837100.0000000002</v>
      </c>
      <c r="F33" s="139"/>
      <c r="G33" s="138">
        <f>+G28+G29+G31+G30</f>
        <v>1859150</v>
      </c>
      <c r="H33" s="139"/>
      <c r="I33" s="138">
        <f>+I28+I29+I31+I30</f>
        <v>2052719.9100000001</v>
      </c>
      <c r="J33" s="139"/>
      <c r="K33" s="138">
        <f>+K28+K29+K31+K30</f>
        <v>0</v>
      </c>
      <c r="L33" s="69"/>
      <c r="M33" s="72">
        <f>+M28+M29+M31+M30</f>
        <v>0</v>
      </c>
      <c r="N33" s="69"/>
      <c r="O33" s="138">
        <f>SUM(O28:O31)</f>
        <v>1837100.0000000002</v>
      </c>
    </row>
    <row r="34" spans="1:15" ht="15.75" customHeight="1" thickBot="1" x14ac:dyDescent="0.35">
      <c r="A34" s="73" t="s">
        <v>24</v>
      </c>
      <c r="B34" s="280"/>
      <c r="C34" s="269"/>
      <c r="D34" s="266"/>
      <c r="E34" s="269"/>
      <c r="F34" s="266"/>
      <c r="G34" s="269"/>
      <c r="H34" s="266"/>
      <c r="I34" s="269"/>
      <c r="J34" s="289"/>
      <c r="K34" s="269"/>
      <c r="L34" s="289"/>
      <c r="M34" s="269"/>
      <c r="N34" s="308"/>
      <c r="O34" s="269"/>
    </row>
    <row r="35" spans="1:15" ht="15.75" customHeight="1" x14ac:dyDescent="0.3"/>
    <row r="36" spans="1:15" ht="15.75" customHeight="1" x14ac:dyDescent="0.3"/>
    <row r="37" spans="1:15" ht="15.75" customHeight="1" x14ac:dyDescent="0.3"/>
    <row r="38" spans="1:15" ht="15.75" customHeight="1" x14ac:dyDescent="0.3"/>
    <row r="39" spans="1:15" ht="15.75" customHeight="1" x14ac:dyDescent="0.3"/>
    <row r="40" spans="1:15" ht="15.75" customHeight="1" x14ac:dyDescent="0.3"/>
    <row r="41" spans="1:15" ht="15.75" customHeight="1" x14ac:dyDescent="0.3"/>
    <row r="42" spans="1:15" ht="15.75" customHeight="1" x14ac:dyDescent="0.3"/>
    <row r="43" spans="1:15" ht="15.75" customHeight="1" x14ac:dyDescent="0.3"/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22">
    <mergeCell ref="N34:O34"/>
    <mergeCell ref="D10:G10"/>
    <mergeCell ref="B34:C34"/>
    <mergeCell ref="D34:E34"/>
    <mergeCell ref="F34:G34"/>
    <mergeCell ref="H34:I34"/>
    <mergeCell ref="J34:K34"/>
    <mergeCell ref="L34:M34"/>
    <mergeCell ref="A23:N23"/>
    <mergeCell ref="B24:C24"/>
    <mergeCell ref="B26:C26"/>
    <mergeCell ref="B27:C27"/>
    <mergeCell ref="B28:C28"/>
    <mergeCell ref="B29:C29"/>
    <mergeCell ref="A8:O8"/>
    <mergeCell ref="A10:A11"/>
    <mergeCell ref="B10:B11"/>
    <mergeCell ref="C10:C11"/>
    <mergeCell ref="H10:I10"/>
    <mergeCell ref="J10:K10"/>
    <mergeCell ref="L10:M10"/>
    <mergeCell ref="N10:O10"/>
  </mergeCells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5973-A69F-4D0F-BC4D-DAFFE344615F}">
  <sheetPr>
    <pageSetUpPr fitToPage="1"/>
  </sheetPr>
  <dimension ref="A1:O1006"/>
  <sheetViews>
    <sheetView topLeftCell="A22" workbookViewId="0">
      <selection activeCell="D15" sqref="D15"/>
    </sheetView>
  </sheetViews>
  <sheetFormatPr baseColWidth="10" defaultColWidth="14.44140625" defaultRowHeight="15" customHeight="1" x14ac:dyDescent="0.3"/>
  <cols>
    <col min="1" max="1" width="38.88671875" style="229" customWidth="1"/>
    <col min="2" max="3" width="10.6640625" style="229" customWidth="1"/>
    <col min="4" max="11" width="12.6640625" style="229" customWidth="1"/>
    <col min="12" max="13" width="10.6640625" style="229" hidden="1" customWidth="1"/>
    <col min="14" max="15" width="12.6640625" style="229" customWidth="1"/>
    <col min="16" max="26" width="10.6640625" style="229" customWidth="1"/>
    <col min="27" max="16384" width="14.44140625" style="229"/>
  </cols>
  <sheetData>
    <row r="1" spans="1:15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224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5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 x14ac:dyDescent="0.3">
      <c r="A6" s="5" t="s">
        <v>225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5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thickBot="1" x14ac:dyDescent="0.35">
      <c r="A10" s="323" t="s">
        <v>6</v>
      </c>
      <c r="B10" s="325" t="s">
        <v>7</v>
      </c>
      <c r="C10" s="326" t="s">
        <v>8</v>
      </c>
      <c r="D10" s="315" t="s">
        <v>9</v>
      </c>
      <c r="E10" s="316"/>
      <c r="F10" s="315" t="s">
        <v>10</v>
      </c>
      <c r="G10" s="317"/>
      <c r="H10" s="327" t="s">
        <v>69</v>
      </c>
      <c r="I10" s="328"/>
      <c r="J10" s="329" t="s">
        <v>249</v>
      </c>
      <c r="K10" s="330"/>
      <c r="L10" s="329"/>
      <c r="M10" s="330"/>
      <c r="N10" s="329" t="s">
        <v>12</v>
      </c>
      <c r="O10" s="331"/>
    </row>
    <row r="11" spans="1:15" thickBot="1" x14ac:dyDescent="0.35">
      <c r="A11" s="324"/>
      <c r="B11" s="292"/>
      <c r="C11" s="292"/>
      <c r="D11" s="250" t="s">
        <v>13</v>
      </c>
      <c r="E11" s="251" t="s">
        <v>14</v>
      </c>
      <c r="F11" s="252" t="s">
        <v>13</v>
      </c>
      <c r="G11" s="251" t="s">
        <v>14</v>
      </c>
      <c r="H11" s="250" t="s">
        <v>13</v>
      </c>
      <c r="I11" s="257" t="s">
        <v>14</v>
      </c>
      <c r="J11" s="253" t="s">
        <v>13</v>
      </c>
      <c r="K11" s="254" t="s">
        <v>14</v>
      </c>
      <c r="L11" s="252" t="s">
        <v>13</v>
      </c>
      <c r="M11" s="251" t="s">
        <v>14</v>
      </c>
      <c r="N11" s="252" t="s">
        <v>13</v>
      </c>
      <c r="O11" s="255" t="s">
        <v>14</v>
      </c>
    </row>
    <row r="12" spans="1:15" ht="14.4" x14ac:dyDescent="0.3">
      <c r="A12" s="236" t="s">
        <v>230</v>
      </c>
      <c r="B12" s="12" t="s">
        <v>7</v>
      </c>
      <c r="C12" s="13">
        <v>12</v>
      </c>
      <c r="D12" s="231">
        <v>155.01</v>
      </c>
      <c r="E12" s="95">
        <f>D12*C12</f>
        <v>1860.12</v>
      </c>
      <c r="F12" s="231">
        <v>101.13</v>
      </c>
      <c r="G12" s="97">
        <f>C12*F12</f>
        <v>1213.56</v>
      </c>
      <c r="H12" s="235">
        <f>281.92*0.62</f>
        <v>174.79040000000001</v>
      </c>
      <c r="I12" s="256">
        <f t="shared" ref="I12:I20" si="0">C12*H12</f>
        <v>2097.4848000000002</v>
      </c>
      <c r="J12" s="244">
        <v>89</v>
      </c>
      <c r="K12" s="245">
        <f t="shared" ref="K12:K34" si="1">C12*J12</f>
        <v>1068</v>
      </c>
      <c r="L12" s="231"/>
      <c r="M12" s="97">
        <f t="shared" ref="M12:M34" si="2">C12*L12</f>
        <v>0</v>
      </c>
      <c r="N12" s="99">
        <f>MIN(D12,F12,H12,J12,L12)</f>
        <v>89</v>
      </c>
      <c r="O12" s="237">
        <f t="shared" ref="O12:O34" si="3">N12*C12</f>
        <v>1068</v>
      </c>
    </row>
    <row r="13" spans="1:15" ht="14.4" x14ac:dyDescent="0.3">
      <c r="A13" s="236" t="s">
        <v>231</v>
      </c>
      <c r="B13" s="12" t="s">
        <v>7</v>
      </c>
      <c r="C13" s="13">
        <v>4</v>
      </c>
      <c r="D13" s="231">
        <v>205.14</v>
      </c>
      <c r="E13" s="95">
        <f t="shared" ref="E13:E20" si="4">D13*C13</f>
        <v>820.56</v>
      </c>
      <c r="F13" s="231">
        <v>129.66</v>
      </c>
      <c r="G13" s="97">
        <f t="shared" ref="G13:G20" si="5">C13*F13</f>
        <v>518.64</v>
      </c>
      <c r="H13" s="235">
        <f>350.24*0.62</f>
        <v>217.14879999999999</v>
      </c>
      <c r="I13" s="242">
        <f t="shared" si="0"/>
        <v>868.59519999999998</v>
      </c>
      <c r="J13" s="246">
        <v>126</v>
      </c>
      <c r="K13" s="247">
        <f t="shared" ref="K13:K20" si="6">C13*J13</f>
        <v>504</v>
      </c>
      <c r="L13" s="231"/>
      <c r="M13" s="97">
        <f t="shared" ref="M13:M20" si="7">C13*L13</f>
        <v>0</v>
      </c>
      <c r="N13" s="99">
        <f t="shared" ref="N13:N34" si="8">MIN(D13,F13,H13,J13,L13)</f>
        <v>126</v>
      </c>
      <c r="O13" s="237">
        <f t="shared" ref="O13:O20" si="9">N13*C13</f>
        <v>504</v>
      </c>
    </row>
    <row r="14" spans="1:15" ht="14.4" x14ac:dyDescent="0.3">
      <c r="A14" s="236" t="s">
        <v>232</v>
      </c>
      <c r="B14" s="12" t="s">
        <v>7</v>
      </c>
      <c r="C14" s="13">
        <v>21</v>
      </c>
      <c r="D14" s="231">
        <v>1099.9000000000001</v>
      </c>
      <c r="E14" s="95">
        <f t="shared" si="4"/>
        <v>23097.9</v>
      </c>
      <c r="F14" s="231">
        <v>1037.26</v>
      </c>
      <c r="G14" s="97">
        <f t="shared" si="5"/>
        <v>21782.46</v>
      </c>
      <c r="H14" s="235">
        <f>1883.94*0.62</f>
        <v>1168.0427999999999</v>
      </c>
      <c r="I14" s="242">
        <f t="shared" si="0"/>
        <v>24528.898799999999</v>
      </c>
      <c r="J14" s="246">
        <v>956</v>
      </c>
      <c r="K14" s="247">
        <f t="shared" si="6"/>
        <v>20076</v>
      </c>
      <c r="L14" s="231"/>
      <c r="M14" s="97">
        <f t="shared" si="7"/>
        <v>0</v>
      </c>
      <c r="N14" s="99">
        <f t="shared" si="8"/>
        <v>956</v>
      </c>
      <c r="O14" s="237">
        <f t="shared" si="9"/>
        <v>20076</v>
      </c>
    </row>
    <row r="15" spans="1:15" ht="14.4" x14ac:dyDescent="0.3">
      <c r="A15" s="236" t="s">
        <v>233</v>
      </c>
      <c r="B15" s="12" t="s">
        <v>7</v>
      </c>
      <c r="C15" s="13">
        <v>37</v>
      </c>
      <c r="D15" s="231">
        <v>52.77</v>
      </c>
      <c r="E15" s="95">
        <f t="shared" si="4"/>
        <v>1952.49</v>
      </c>
      <c r="F15" s="231">
        <v>78.400000000000006</v>
      </c>
      <c r="G15" s="97">
        <f t="shared" si="5"/>
        <v>2900.8</v>
      </c>
      <c r="H15" s="235">
        <f>146.78*0.62</f>
        <v>91.003600000000006</v>
      </c>
      <c r="I15" s="242">
        <f t="shared" si="0"/>
        <v>3367.1332000000002</v>
      </c>
      <c r="J15" s="246">
        <v>75.216899999999995</v>
      </c>
      <c r="K15" s="247">
        <f t="shared" si="6"/>
        <v>2783.0252999999998</v>
      </c>
      <c r="L15" s="231"/>
      <c r="M15" s="97">
        <f t="shared" si="7"/>
        <v>0</v>
      </c>
      <c r="N15" s="99">
        <f t="shared" si="8"/>
        <v>52.77</v>
      </c>
      <c r="O15" s="237">
        <f t="shared" si="9"/>
        <v>1952.49</v>
      </c>
    </row>
    <row r="16" spans="1:15" ht="14.4" x14ac:dyDescent="0.3">
      <c r="A16" s="236" t="s">
        <v>234</v>
      </c>
      <c r="B16" s="12" t="s">
        <v>7</v>
      </c>
      <c r="C16" s="13">
        <v>1</v>
      </c>
      <c r="D16" s="231">
        <v>1616.47</v>
      </c>
      <c r="E16" s="95">
        <f t="shared" si="4"/>
        <v>1616.47</v>
      </c>
      <c r="F16" s="231">
        <v>1244.71</v>
      </c>
      <c r="G16" s="97">
        <f t="shared" si="5"/>
        <v>1244.71</v>
      </c>
      <c r="H16" s="235">
        <f>2211.9*0.62</f>
        <v>1371.3780000000002</v>
      </c>
      <c r="I16" s="242">
        <f t="shared" si="0"/>
        <v>1371.3780000000002</v>
      </c>
      <c r="J16" s="246">
        <v>1116</v>
      </c>
      <c r="K16" s="247">
        <f t="shared" si="6"/>
        <v>1116</v>
      </c>
      <c r="L16" s="231"/>
      <c r="M16" s="97">
        <f t="shared" si="7"/>
        <v>0</v>
      </c>
      <c r="N16" s="99">
        <f t="shared" si="8"/>
        <v>1116</v>
      </c>
      <c r="O16" s="237">
        <f t="shared" si="9"/>
        <v>1116</v>
      </c>
    </row>
    <row r="17" spans="1:15" ht="14.4" x14ac:dyDescent="0.3">
      <c r="A17" s="236" t="s">
        <v>235</v>
      </c>
      <c r="B17" s="12" t="s">
        <v>7</v>
      </c>
      <c r="C17" s="13">
        <v>2</v>
      </c>
      <c r="D17" s="231">
        <v>926.27</v>
      </c>
      <c r="E17" s="95">
        <f t="shared" si="4"/>
        <v>1852.54</v>
      </c>
      <c r="F17" s="231">
        <v>1011.33</v>
      </c>
      <c r="G17" s="97">
        <f t="shared" si="5"/>
        <v>2022.66</v>
      </c>
      <c r="H17" s="235">
        <f>1950.8*0.62</f>
        <v>1209.4959999999999</v>
      </c>
      <c r="I17" s="242">
        <f t="shared" si="0"/>
        <v>2418.9919999999997</v>
      </c>
      <c r="J17" s="246">
        <v>1116</v>
      </c>
      <c r="K17" s="247">
        <f t="shared" si="6"/>
        <v>2232</v>
      </c>
      <c r="L17" s="231"/>
      <c r="M17" s="97">
        <f t="shared" si="7"/>
        <v>0</v>
      </c>
      <c r="N17" s="99">
        <f t="shared" si="8"/>
        <v>926.27</v>
      </c>
      <c r="O17" s="237">
        <f t="shared" si="9"/>
        <v>1852.54</v>
      </c>
    </row>
    <row r="18" spans="1:15" ht="14.4" x14ac:dyDescent="0.3">
      <c r="A18" s="236" t="s">
        <v>226</v>
      </c>
      <c r="B18" s="12" t="s">
        <v>7</v>
      </c>
      <c r="C18" s="13">
        <v>1</v>
      </c>
      <c r="D18" s="231">
        <v>199.73</v>
      </c>
      <c r="E18" s="95">
        <f t="shared" si="4"/>
        <v>199.73</v>
      </c>
      <c r="F18" s="231">
        <v>98.54</v>
      </c>
      <c r="G18" s="97">
        <f t="shared" si="5"/>
        <v>98.54</v>
      </c>
      <c r="H18" s="235">
        <f>301.7*0.62</f>
        <v>187.054</v>
      </c>
      <c r="I18" s="242">
        <f t="shared" si="0"/>
        <v>187.054</v>
      </c>
      <c r="J18" s="246"/>
      <c r="K18" s="247">
        <f t="shared" si="6"/>
        <v>0</v>
      </c>
      <c r="L18" s="231"/>
      <c r="M18" s="97">
        <f t="shared" si="7"/>
        <v>0</v>
      </c>
      <c r="N18" s="99">
        <f>MIN(D18,F18,H18,J18,L18)</f>
        <v>98.54</v>
      </c>
      <c r="O18" s="237">
        <f t="shared" si="9"/>
        <v>98.54</v>
      </c>
    </row>
    <row r="19" spans="1:15" ht="14.4" x14ac:dyDescent="0.3">
      <c r="A19" s="236" t="s">
        <v>227</v>
      </c>
      <c r="B19" s="12" t="s">
        <v>7</v>
      </c>
      <c r="C19" s="13">
        <v>8</v>
      </c>
      <c r="D19" s="231">
        <v>926.26</v>
      </c>
      <c r="E19" s="95">
        <f t="shared" si="4"/>
        <v>7410.08</v>
      </c>
      <c r="F19" s="231"/>
      <c r="G19" s="97">
        <f t="shared" si="5"/>
        <v>0</v>
      </c>
      <c r="H19" s="235">
        <f>1950.8*0.62</f>
        <v>1209.4959999999999</v>
      </c>
      <c r="I19" s="242">
        <f t="shared" si="0"/>
        <v>9675.9679999999989</v>
      </c>
      <c r="J19" s="246">
        <v>716.5</v>
      </c>
      <c r="K19" s="247">
        <f t="shared" si="6"/>
        <v>5732</v>
      </c>
      <c r="L19" s="231"/>
      <c r="M19" s="97">
        <f t="shared" si="7"/>
        <v>0</v>
      </c>
      <c r="N19" s="99">
        <f t="shared" si="8"/>
        <v>716.5</v>
      </c>
      <c r="O19" s="237">
        <f t="shared" si="9"/>
        <v>5732</v>
      </c>
    </row>
    <row r="20" spans="1:15" ht="14.4" x14ac:dyDescent="0.3">
      <c r="A20" s="236" t="s">
        <v>228</v>
      </c>
      <c r="B20" s="12" t="s">
        <v>7</v>
      </c>
      <c r="C20" s="13">
        <v>6</v>
      </c>
      <c r="D20" s="231">
        <v>2873.06</v>
      </c>
      <c r="E20" s="95">
        <f t="shared" si="4"/>
        <v>17238.36</v>
      </c>
      <c r="F20" s="231">
        <v>4513.1899999999996</v>
      </c>
      <c r="G20" s="97">
        <f t="shared" si="5"/>
        <v>27079.14</v>
      </c>
      <c r="H20" s="235">
        <f>6834.36*0.62</f>
        <v>4237.3031999999994</v>
      </c>
      <c r="I20" s="242">
        <f t="shared" si="0"/>
        <v>25423.819199999998</v>
      </c>
      <c r="J20" s="246">
        <v>1054.5</v>
      </c>
      <c r="K20" s="247">
        <f t="shared" si="6"/>
        <v>6327</v>
      </c>
      <c r="L20" s="231"/>
      <c r="M20" s="97">
        <f t="shared" si="7"/>
        <v>0</v>
      </c>
      <c r="N20" s="99">
        <f t="shared" si="8"/>
        <v>1054.5</v>
      </c>
      <c r="O20" s="237">
        <f t="shared" si="9"/>
        <v>6327</v>
      </c>
    </row>
    <row r="21" spans="1:15" ht="14.4" x14ac:dyDescent="0.3">
      <c r="A21" s="236" t="s">
        <v>236</v>
      </c>
      <c r="B21" s="12" t="s">
        <v>7</v>
      </c>
      <c r="C21" s="13">
        <v>6</v>
      </c>
      <c r="D21" s="231">
        <v>1256.47</v>
      </c>
      <c r="E21" s="95">
        <f t="shared" ref="E21:E29" si="10">D21*C21</f>
        <v>7538.82</v>
      </c>
      <c r="F21" s="231">
        <v>840.71</v>
      </c>
      <c r="G21" s="97">
        <f t="shared" ref="G21:G29" si="11">C21*F21</f>
        <v>5044.26</v>
      </c>
      <c r="H21" s="235">
        <f>1852.78*0.62</f>
        <v>1148.7236</v>
      </c>
      <c r="I21" s="242">
        <f t="shared" ref="I21:I29" si="12">C21*H21</f>
        <v>6892.3415999999997</v>
      </c>
      <c r="J21" s="246">
        <v>901.7</v>
      </c>
      <c r="K21" s="247">
        <f t="shared" ref="K21:K29" si="13">C21*J21</f>
        <v>5410.2000000000007</v>
      </c>
      <c r="L21" s="231"/>
      <c r="M21" s="97">
        <f t="shared" ref="M21:M29" si="14">C21*L21</f>
        <v>0</v>
      </c>
      <c r="N21" s="99">
        <f t="shared" si="8"/>
        <v>840.71</v>
      </c>
      <c r="O21" s="237">
        <f t="shared" ref="O21:O29" si="15">N21*C21</f>
        <v>5044.26</v>
      </c>
    </row>
    <row r="22" spans="1:15" ht="14.4" x14ac:dyDescent="0.3">
      <c r="A22" s="236" t="s">
        <v>237</v>
      </c>
      <c r="B22" s="12" t="s">
        <v>7</v>
      </c>
      <c r="C22" s="13">
        <v>8</v>
      </c>
      <c r="D22" s="231">
        <v>613.46</v>
      </c>
      <c r="E22" s="95">
        <f t="shared" si="10"/>
        <v>4907.68</v>
      </c>
      <c r="F22" s="231">
        <v>566.02</v>
      </c>
      <c r="G22" s="97">
        <f t="shared" si="11"/>
        <v>4528.16</v>
      </c>
      <c r="H22" s="235">
        <f>993.28*0.62</f>
        <v>615.83359999999993</v>
      </c>
      <c r="I22" s="242">
        <f t="shared" si="12"/>
        <v>4926.6687999999995</v>
      </c>
      <c r="J22" s="246">
        <v>716.5</v>
      </c>
      <c r="K22" s="247">
        <f t="shared" si="13"/>
        <v>5732</v>
      </c>
      <c r="L22" s="231"/>
      <c r="M22" s="97">
        <f t="shared" si="14"/>
        <v>0</v>
      </c>
      <c r="N22" s="99">
        <f t="shared" si="8"/>
        <v>566.02</v>
      </c>
      <c r="O22" s="237">
        <f t="shared" si="15"/>
        <v>4528.16</v>
      </c>
    </row>
    <row r="23" spans="1:15" ht="14.4" x14ac:dyDescent="0.3">
      <c r="A23" s="236" t="s">
        <v>238</v>
      </c>
      <c r="B23" s="12" t="s">
        <v>7</v>
      </c>
      <c r="C23" s="13">
        <v>7</v>
      </c>
      <c r="D23" s="231">
        <v>12992.26</v>
      </c>
      <c r="E23" s="95">
        <f t="shared" si="10"/>
        <v>90945.82</v>
      </c>
      <c r="F23" s="231">
        <v>12973.28</v>
      </c>
      <c r="G23" s="97">
        <f t="shared" si="11"/>
        <v>90812.96</v>
      </c>
      <c r="H23" s="235">
        <f>19412.38*0.62</f>
        <v>12035.6756</v>
      </c>
      <c r="I23" s="242">
        <f t="shared" si="12"/>
        <v>84249.729200000002</v>
      </c>
      <c r="J23" s="246">
        <v>16347</v>
      </c>
      <c r="K23" s="247">
        <f t="shared" si="13"/>
        <v>114429</v>
      </c>
      <c r="L23" s="231"/>
      <c r="M23" s="97">
        <f t="shared" si="14"/>
        <v>0</v>
      </c>
      <c r="N23" s="99">
        <f t="shared" si="8"/>
        <v>12035.6756</v>
      </c>
      <c r="O23" s="237">
        <f t="shared" si="15"/>
        <v>84249.729200000002</v>
      </c>
    </row>
    <row r="24" spans="1:15" ht="14.4" x14ac:dyDescent="0.3">
      <c r="A24" s="236" t="s">
        <v>239</v>
      </c>
      <c r="B24" s="12" t="s">
        <v>7</v>
      </c>
      <c r="C24" s="13">
        <v>6</v>
      </c>
      <c r="D24" s="231">
        <v>895.17</v>
      </c>
      <c r="E24" s="95">
        <f t="shared" si="10"/>
        <v>5371.0199999999995</v>
      </c>
      <c r="F24" s="231">
        <v>825.52</v>
      </c>
      <c r="G24" s="97">
        <f t="shared" si="11"/>
        <v>4953.12</v>
      </c>
      <c r="H24" s="235">
        <f>1538.78*0.62</f>
        <v>954.04359999999997</v>
      </c>
      <c r="I24" s="242">
        <f t="shared" si="12"/>
        <v>5724.2615999999998</v>
      </c>
      <c r="J24" s="246">
        <v>1045.5999999999999</v>
      </c>
      <c r="K24" s="247">
        <f t="shared" si="13"/>
        <v>6273.5999999999995</v>
      </c>
      <c r="L24" s="231"/>
      <c r="M24" s="97">
        <f t="shared" si="14"/>
        <v>0</v>
      </c>
      <c r="N24" s="99">
        <f t="shared" si="8"/>
        <v>825.52</v>
      </c>
      <c r="O24" s="237">
        <f t="shared" si="15"/>
        <v>4953.12</v>
      </c>
    </row>
    <row r="25" spans="1:15" ht="14.4" x14ac:dyDescent="0.3">
      <c r="A25" s="236" t="s">
        <v>240</v>
      </c>
      <c r="B25" s="12" t="s">
        <v>7</v>
      </c>
      <c r="C25" s="13">
        <v>6</v>
      </c>
      <c r="D25" s="231">
        <v>932.18</v>
      </c>
      <c r="E25" s="95">
        <f t="shared" si="10"/>
        <v>5593.08</v>
      </c>
      <c r="F25" s="231">
        <v>973.69</v>
      </c>
      <c r="G25" s="97">
        <f t="shared" si="11"/>
        <v>5842.14</v>
      </c>
      <c r="H25" s="235">
        <f>1708.36*0.62</f>
        <v>1059.1831999999999</v>
      </c>
      <c r="I25" s="242">
        <f t="shared" si="12"/>
        <v>6355.0991999999997</v>
      </c>
      <c r="J25" s="246">
        <v>1236.4000000000001</v>
      </c>
      <c r="K25" s="247">
        <f t="shared" si="13"/>
        <v>7418.4000000000005</v>
      </c>
      <c r="L25" s="231"/>
      <c r="M25" s="97">
        <f t="shared" si="14"/>
        <v>0</v>
      </c>
      <c r="N25" s="99">
        <f t="shared" si="8"/>
        <v>932.18</v>
      </c>
      <c r="O25" s="237">
        <f t="shared" si="15"/>
        <v>5593.08</v>
      </c>
    </row>
    <row r="26" spans="1:15" ht="14.4" x14ac:dyDescent="0.3">
      <c r="A26" s="236" t="s">
        <v>241</v>
      </c>
      <c r="B26" s="12" t="s">
        <v>7</v>
      </c>
      <c r="C26" s="13">
        <v>8</v>
      </c>
      <c r="D26" s="231">
        <v>451.21</v>
      </c>
      <c r="E26" s="95">
        <f t="shared" si="10"/>
        <v>3609.68</v>
      </c>
      <c r="F26" s="231">
        <v>371.37</v>
      </c>
      <c r="G26" s="97">
        <f t="shared" si="11"/>
        <v>2970.96</v>
      </c>
      <c r="H26" s="235">
        <f>806.28*0.62</f>
        <v>499.89359999999999</v>
      </c>
      <c r="I26" s="242">
        <f t="shared" si="12"/>
        <v>3999.1487999999999</v>
      </c>
      <c r="J26" s="246">
        <v>1105</v>
      </c>
      <c r="K26" s="247">
        <f t="shared" si="13"/>
        <v>8840</v>
      </c>
      <c r="L26" s="231"/>
      <c r="M26" s="97">
        <f t="shared" si="14"/>
        <v>0</v>
      </c>
      <c r="N26" s="99">
        <f t="shared" si="8"/>
        <v>371.37</v>
      </c>
      <c r="O26" s="237">
        <f t="shared" si="15"/>
        <v>2970.96</v>
      </c>
    </row>
    <row r="27" spans="1:15" ht="14.4" x14ac:dyDescent="0.3">
      <c r="A27" s="236" t="s">
        <v>229</v>
      </c>
      <c r="B27" s="12" t="s">
        <v>7</v>
      </c>
      <c r="C27" s="13">
        <v>3</v>
      </c>
      <c r="D27" s="231">
        <v>3627.8</v>
      </c>
      <c r="E27" s="95">
        <f t="shared" si="10"/>
        <v>10883.400000000001</v>
      </c>
      <c r="F27" s="231">
        <v>2886.15</v>
      </c>
      <c r="G27" s="97">
        <f t="shared" si="11"/>
        <v>8658.4500000000007</v>
      </c>
      <c r="H27" s="235">
        <f>6376.8*0.62</f>
        <v>3953.616</v>
      </c>
      <c r="I27" s="242">
        <f t="shared" si="12"/>
        <v>11860.848</v>
      </c>
      <c r="J27" s="246">
        <v>2510</v>
      </c>
      <c r="K27" s="247">
        <f t="shared" si="13"/>
        <v>7530</v>
      </c>
      <c r="L27" s="231"/>
      <c r="M27" s="97">
        <f t="shared" si="14"/>
        <v>0</v>
      </c>
      <c r="N27" s="99">
        <f t="shared" si="8"/>
        <v>2510</v>
      </c>
      <c r="O27" s="237">
        <f t="shared" si="15"/>
        <v>7530</v>
      </c>
    </row>
    <row r="28" spans="1:15" ht="14.4" x14ac:dyDescent="0.3">
      <c r="A28" s="236" t="s">
        <v>242</v>
      </c>
      <c r="B28" s="12" t="s">
        <v>7</v>
      </c>
      <c r="C28" s="13">
        <v>28</v>
      </c>
      <c r="D28" s="231">
        <v>156.01</v>
      </c>
      <c r="E28" s="95">
        <f t="shared" si="10"/>
        <v>4368.28</v>
      </c>
      <c r="F28" s="231">
        <v>224.56</v>
      </c>
      <c r="G28" s="97">
        <f t="shared" si="11"/>
        <v>6287.68</v>
      </c>
      <c r="H28" s="235">
        <f>519.2*0.62</f>
        <v>321.90400000000005</v>
      </c>
      <c r="I28" s="242">
        <f t="shared" si="12"/>
        <v>9013.3120000000017</v>
      </c>
      <c r="J28" s="246">
        <v>247</v>
      </c>
      <c r="K28" s="247">
        <f t="shared" si="13"/>
        <v>6916</v>
      </c>
      <c r="L28" s="231"/>
      <c r="M28" s="97">
        <f t="shared" si="14"/>
        <v>0</v>
      </c>
      <c r="N28" s="99">
        <f t="shared" si="8"/>
        <v>156.01</v>
      </c>
      <c r="O28" s="237">
        <f t="shared" si="15"/>
        <v>4368.28</v>
      </c>
    </row>
    <row r="29" spans="1:15" ht="14.4" x14ac:dyDescent="0.3">
      <c r="A29" s="236" t="s">
        <v>243</v>
      </c>
      <c r="B29" s="12" t="s">
        <v>7</v>
      </c>
      <c r="C29" s="13">
        <v>28</v>
      </c>
      <c r="D29" s="231">
        <v>389.04</v>
      </c>
      <c r="E29" s="95">
        <f t="shared" si="10"/>
        <v>10893.12</v>
      </c>
      <c r="F29" s="231">
        <v>503.98</v>
      </c>
      <c r="G29" s="97">
        <f t="shared" si="11"/>
        <v>14111.44</v>
      </c>
      <c r="H29" s="235">
        <f>868.06*0.62</f>
        <v>538.19719999999995</v>
      </c>
      <c r="I29" s="242">
        <f t="shared" si="12"/>
        <v>15069.521599999998</v>
      </c>
      <c r="J29" s="246">
        <v>429</v>
      </c>
      <c r="K29" s="247">
        <f t="shared" si="13"/>
        <v>12012</v>
      </c>
      <c r="L29" s="231"/>
      <c r="M29" s="97">
        <f t="shared" si="14"/>
        <v>0</v>
      </c>
      <c r="N29" s="99">
        <f t="shared" si="8"/>
        <v>389.04</v>
      </c>
      <c r="O29" s="237">
        <f t="shared" si="15"/>
        <v>10893.12</v>
      </c>
    </row>
    <row r="30" spans="1:15" ht="14.4" x14ac:dyDescent="0.3">
      <c r="A30" s="236" t="s">
        <v>244</v>
      </c>
      <c r="B30" s="12" t="s">
        <v>7</v>
      </c>
      <c r="C30" s="13">
        <v>6</v>
      </c>
      <c r="D30" s="231">
        <v>431.11</v>
      </c>
      <c r="E30" s="95">
        <f t="shared" ref="E30:E34" si="16">D30*C30</f>
        <v>2586.66</v>
      </c>
      <c r="F30" s="231">
        <v>343.34</v>
      </c>
      <c r="G30" s="97">
        <f t="shared" ref="G30:G34" si="17">C30*F30</f>
        <v>2060.04</v>
      </c>
      <c r="H30" s="235">
        <f>806.28*0.62</f>
        <v>499.89359999999999</v>
      </c>
      <c r="I30" s="242">
        <f t="shared" ref="I30:I34" si="18">C30*H30</f>
        <v>2999.3616000000002</v>
      </c>
      <c r="J30" s="246">
        <v>436</v>
      </c>
      <c r="K30" s="247">
        <f t="shared" si="1"/>
        <v>2616</v>
      </c>
      <c r="L30" s="231"/>
      <c r="M30" s="97">
        <f t="shared" si="2"/>
        <v>0</v>
      </c>
      <c r="N30" s="99">
        <f t="shared" si="8"/>
        <v>343.34</v>
      </c>
      <c r="O30" s="237">
        <f t="shared" si="3"/>
        <v>2060.04</v>
      </c>
    </row>
    <row r="31" spans="1:15" ht="14.4" x14ac:dyDescent="0.3">
      <c r="A31" s="236" t="s">
        <v>245</v>
      </c>
      <c r="B31" s="12" t="s">
        <v>7</v>
      </c>
      <c r="C31" s="13">
        <v>12</v>
      </c>
      <c r="D31" s="231">
        <v>1874.12</v>
      </c>
      <c r="E31" s="95">
        <f t="shared" si="16"/>
        <v>22489.439999999999</v>
      </c>
      <c r="F31" s="231">
        <v>2128.5700000000002</v>
      </c>
      <c r="G31" s="97">
        <f t="shared" si="17"/>
        <v>25542.840000000004</v>
      </c>
      <c r="H31" s="234">
        <f>3116.12*0.62</f>
        <v>1931.9943999999998</v>
      </c>
      <c r="I31" s="243">
        <f t="shared" si="18"/>
        <v>23183.932799999999</v>
      </c>
      <c r="J31" s="246">
        <v>2051</v>
      </c>
      <c r="K31" s="247">
        <f t="shared" si="1"/>
        <v>24612</v>
      </c>
      <c r="L31" s="231"/>
      <c r="M31" s="97">
        <f t="shared" si="2"/>
        <v>0</v>
      </c>
      <c r="N31" s="99">
        <f t="shared" si="8"/>
        <v>1874.12</v>
      </c>
      <c r="O31" s="237">
        <f t="shared" si="3"/>
        <v>22489.439999999999</v>
      </c>
    </row>
    <row r="32" spans="1:15" ht="14.4" x14ac:dyDescent="0.3">
      <c r="A32" s="236" t="s">
        <v>246</v>
      </c>
      <c r="B32" s="12" t="s">
        <v>7</v>
      </c>
      <c r="C32" s="13">
        <v>1</v>
      </c>
      <c r="D32" s="231">
        <v>1381.49</v>
      </c>
      <c r="E32" s="95">
        <f t="shared" si="16"/>
        <v>1381.49</v>
      </c>
      <c r="F32" s="231">
        <v>1776.03</v>
      </c>
      <c r="G32" s="97">
        <f t="shared" si="17"/>
        <v>1776.03</v>
      </c>
      <c r="H32" s="234">
        <f>3116.12*0.62</f>
        <v>1931.9943999999998</v>
      </c>
      <c r="I32" s="98">
        <f t="shared" si="18"/>
        <v>1931.9943999999998</v>
      </c>
      <c r="J32" s="246">
        <v>2252</v>
      </c>
      <c r="K32" s="247">
        <f t="shared" si="1"/>
        <v>2252</v>
      </c>
      <c r="L32" s="231"/>
      <c r="M32" s="97"/>
      <c r="N32" s="99">
        <f t="shared" si="8"/>
        <v>1381.49</v>
      </c>
      <c r="O32" s="237">
        <f t="shared" si="3"/>
        <v>1381.49</v>
      </c>
    </row>
    <row r="33" spans="1:15" ht="14.4" x14ac:dyDescent="0.3">
      <c r="A33" s="236" t="s">
        <v>247</v>
      </c>
      <c r="B33" s="12" t="s">
        <v>7</v>
      </c>
      <c r="C33" s="13">
        <v>1</v>
      </c>
      <c r="D33" s="231">
        <v>3581.73</v>
      </c>
      <c r="E33" s="95">
        <f t="shared" si="16"/>
        <v>3581.73</v>
      </c>
      <c r="F33" s="231">
        <v>3883.06</v>
      </c>
      <c r="G33" s="97">
        <f t="shared" si="17"/>
        <v>3883.06</v>
      </c>
      <c r="H33" s="234">
        <f>6472.62*0.62</f>
        <v>4013.0243999999998</v>
      </c>
      <c r="I33" s="98">
        <f t="shared" si="18"/>
        <v>4013.0243999999998</v>
      </c>
      <c r="J33" s="246">
        <v>5084</v>
      </c>
      <c r="K33" s="247">
        <f t="shared" si="1"/>
        <v>5084</v>
      </c>
      <c r="L33" s="231"/>
      <c r="M33" s="97">
        <f t="shared" si="2"/>
        <v>0</v>
      </c>
      <c r="N33" s="99">
        <f t="shared" si="8"/>
        <v>3581.73</v>
      </c>
      <c r="O33" s="237">
        <f t="shared" si="3"/>
        <v>3581.73</v>
      </c>
    </row>
    <row r="34" spans="1:15" thickBot="1" x14ac:dyDescent="0.35">
      <c r="A34" s="238" t="s">
        <v>248</v>
      </c>
      <c r="B34" s="209" t="s">
        <v>7</v>
      </c>
      <c r="C34" s="210">
        <v>14</v>
      </c>
      <c r="D34" s="239">
        <v>547.4</v>
      </c>
      <c r="E34" s="212">
        <f t="shared" si="16"/>
        <v>7663.5999999999995</v>
      </c>
      <c r="F34" s="239">
        <v>436.06</v>
      </c>
      <c r="G34" s="214">
        <f t="shared" si="17"/>
        <v>6104.84</v>
      </c>
      <c r="H34" s="240">
        <f>806.28*0.62</f>
        <v>499.89359999999999</v>
      </c>
      <c r="I34" s="216">
        <f t="shared" si="18"/>
        <v>6998.5104000000001</v>
      </c>
      <c r="J34" s="248">
        <v>553</v>
      </c>
      <c r="K34" s="249">
        <f t="shared" si="1"/>
        <v>7742</v>
      </c>
      <c r="L34" s="239"/>
      <c r="M34" s="214">
        <f t="shared" si="2"/>
        <v>0</v>
      </c>
      <c r="N34" s="99">
        <f t="shared" si="8"/>
        <v>436.06</v>
      </c>
      <c r="O34" s="241">
        <f t="shared" si="3"/>
        <v>6104.84</v>
      </c>
    </row>
    <row r="35" spans="1:15" ht="15.75" customHeight="1" thickBot="1" x14ac:dyDescent="0.35">
      <c r="A35" s="318" t="s">
        <v>66</v>
      </c>
      <c r="B35" s="318"/>
      <c r="C35" s="318"/>
      <c r="D35" s="318"/>
      <c r="E35" s="318"/>
      <c r="F35" s="318"/>
      <c r="G35" s="318"/>
      <c r="H35" s="318"/>
      <c r="I35" s="318"/>
      <c r="J35" s="318"/>
      <c r="K35" s="318"/>
      <c r="L35" s="318"/>
      <c r="M35" s="318"/>
      <c r="N35" s="318"/>
      <c r="O35" s="4"/>
    </row>
    <row r="36" spans="1:15" ht="15.75" customHeight="1" thickBot="1" x14ac:dyDescent="0.35">
      <c r="A36" s="32" t="s">
        <v>17</v>
      </c>
      <c r="B36" s="319"/>
      <c r="C36" s="320"/>
      <c r="D36" s="118"/>
      <c r="E36" s="119">
        <f>+SUM(E12:E34)</f>
        <v>237862.06999999998</v>
      </c>
      <c r="F36" s="33"/>
      <c r="G36" s="120">
        <f>+SUM(G12:G34)</f>
        <v>239436.49000000002</v>
      </c>
      <c r="H36" s="33"/>
      <c r="I36" s="120">
        <f>+SUM(I12:I34)</f>
        <v>257157.07759999999</v>
      </c>
      <c r="J36" s="33"/>
      <c r="K36" s="120">
        <f>+SUM(K12:K34)</f>
        <v>256705.22529999999</v>
      </c>
      <c r="L36" s="33"/>
      <c r="M36" s="120">
        <f>+SUM(M12:M35)</f>
        <v>0</v>
      </c>
      <c r="N36" s="36"/>
      <c r="O36" s="120">
        <f>+SUM(O12:O35)</f>
        <v>204474.81919999997</v>
      </c>
    </row>
    <row r="37" spans="1:15" ht="15.75" customHeight="1" thickBot="1" x14ac:dyDescent="0.35">
      <c r="A37" s="37"/>
      <c r="B37" s="38"/>
      <c r="C37" s="38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</row>
    <row r="38" spans="1:15" ht="15.75" customHeight="1" x14ac:dyDescent="0.3">
      <c r="A38" s="40" t="s">
        <v>18</v>
      </c>
      <c r="B38" s="276"/>
      <c r="C38" s="321"/>
      <c r="D38" s="122">
        <v>0</v>
      </c>
      <c r="E38" s="123">
        <f>+E36*D38</f>
        <v>0</v>
      </c>
      <c r="F38" s="41">
        <v>0</v>
      </c>
      <c r="G38" s="124">
        <f>+G36*F38</f>
        <v>0</v>
      </c>
      <c r="H38" s="41"/>
      <c r="I38" s="124">
        <f>+I36*H38</f>
        <v>0</v>
      </c>
      <c r="J38" s="41">
        <v>0</v>
      </c>
      <c r="K38" s="124">
        <f>+K36*J38</f>
        <v>0</v>
      </c>
      <c r="L38" s="41">
        <v>0</v>
      </c>
      <c r="M38" s="124">
        <f>+M36*L38</f>
        <v>0</v>
      </c>
      <c r="N38" s="125"/>
      <c r="O38" s="124">
        <f>+O36*N38</f>
        <v>0</v>
      </c>
    </row>
    <row r="39" spans="1:15" ht="15.75" customHeight="1" x14ac:dyDescent="0.3">
      <c r="A39" s="45" t="s">
        <v>19</v>
      </c>
      <c r="B39" s="277">
        <v>1</v>
      </c>
      <c r="C39" s="322"/>
      <c r="D39" s="126"/>
      <c r="E39" s="127"/>
      <c r="F39" s="126"/>
      <c r="G39" s="128"/>
      <c r="H39" s="126"/>
      <c r="I39" s="128"/>
      <c r="J39" s="126"/>
      <c r="K39" s="128"/>
      <c r="L39" s="126"/>
      <c r="M39" s="128"/>
      <c r="N39" s="129"/>
      <c r="O39" s="128"/>
    </row>
    <row r="40" spans="1:15" ht="15.75" customHeight="1" x14ac:dyDescent="0.3">
      <c r="A40" s="45" t="s">
        <v>20</v>
      </c>
      <c r="B40" s="277"/>
      <c r="C40" s="278"/>
      <c r="D40" s="126"/>
      <c r="E40" s="127">
        <f>+E36-E38</f>
        <v>237862.06999999998</v>
      </c>
      <c r="F40" s="126"/>
      <c r="G40" s="128">
        <f>+G36-G38</f>
        <v>239436.49000000002</v>
      </c>
      <c r="H40" s="126"/>
      <c r="I40" s="128">
        <f>+I36-I38</f>
        <v>257157.07759999999</v>
      </c>
      <c r="J40" s="126"/>
      <c r="K40" s="128">
        <f>+K36-K38</f>
        <v>256705.22529999999</v>
      </c>
      <c r="L40" s="126"/>
      <c r="M40" s="128">
        <f>+M36-M38</f>
        <v>0</v>
      </c>
      <c r="N40" s="129"/>
      <c r="O40" s="128">
        <f>+O36-O38</f>
        <v>204474.81919999997</v>
      </c>
    </row>
    <row r="41" spans="1:15" ht="15.75" customHeight="1" x14ac:dyDescent="0.3">
      <c r="A41" s="45" t="s">
        <v>21</v>
      </c>
      <c r="B41" s="279">
        <v>0.21</v>
      </c>
      <c r="C41" s="278"/>
      <c r="D41" s="126"/>
      <c r="E41" s="127">
        <f>(+E40)*B41</f>
        <v>49951.034699999997</v>
      </c>
      <c r="F41" s="126"/>
      <c r="G41" s="128">
        <f>(+G40)*B41</f>
        <v>50281.662900000003</v>
      </c>
      <c r="H41" s="126"/>
      <c r="I41" s="128">
        <f>(+I40)*B41</f>
        <v>54002.986295999995</v>
      </c>
      <c r="J41" s="126"/>
      <c r="K41" s="128">
        <f>(+K40)*B41</f>
        <v>53908.097312999998</v>
      </c>
      <c r="L41" s="126"/>
      <c r="M41" s="128">
        <f>(+M40)*B41</f>
        <v>0</v>
      </c>
      <c r="N41" s="129"/>
      <c r="O41" s="128">
        <f>O40*B41</f>
        <v>42939.712031999989</v>
      </c>
    </row>
    <row r="42" spans="1:15" ht="15.75" customHeight="1" x14ac:dyDescent="0.3">
      <c r="A42" s="50" t="s">
        <v>22</v>
      </c>
      <c r="B42" s="51"/>
      <c r="C42" s="52"/>
      <c r="D42" s="130"/>
      <c r="E42" s="131">
        <v>3805.79</v>
      </c>
      <c r="F42" s="130"/>
      <c r="G42" s="132">
        <v>3879.52</v>
      </c>
      <c r="H42" s="130"/>
      <c r="I42" s="132"/>
      <c r="J42" s="130"/>
      <c r="K42" s="132"/>
      <c r="L42" s="130"/>
      <c r="M42" s="132"/>
      <c r="N42" s="133"/>
      <c r="O42" s="132"/>
    </row>
    <row r="43" spans="1:15" ht="15.75" customHeight="1" thickBot="1" x14ac:dyDescent="0.35">
      <c r="A43" s="57" t="s">
        <v>45</v>
      </c>
      <c r="B43" s="58"/>
      <c r="C43" s="59"/>
      <c r="D43" s="134"/>
      <c r="E43" s="135"/>
      <c r="F43" s="134"/>
      <c r="G43" s="136"/>
      <c r="H43" s="134"/>
      <c r="I43" s="136"/>
      <c r="J43" s="134"/>
      <c r="K43" s="136"/>
      <c r="L43" s="134"/>
      <c r="M43" s="136"/>
      <c r="N43" s="137"/>
      <c r="O43" s="136"/>
    </row>
    <row r="44" spans="1:15" ht="15.75" customHeight="1" thickBot="1" x14ac:dyDescent="0.35">
      <c r="A44" s="37"/>
      <c r="B44" s="38"/>
      <c r="C44" s="38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</row>
    <row r="45" spans="1:15" ht="15.75" customHeight="1" thickBot="1" x14ac:dyDescent="0.35">
      <c r="A45" s="66" t="s">
        <v>23</v>
      </c>
      <c r="B45" s="67"/>
      <c r="C45" s="68"/>
      <c r="D45" s="69"/>
      <c r="E45" s="138">
        <f>+E40+E41+E43+E42</f>
        <v>291618.89469999995</v>
      </c>
      <c r="F45" s="139"/>
      <c r="G45" s="138">
        <f>+G40+G41+G43+G42</f>
        <v>293597.67290000006</v>
      </c>
      <c r="H45" s="139"/>
      <c r="I45" s="138">
        <f>+I40+I41+I43+I42</f>
        <v>311160.06389599998</v>
      </c>
      <c r="J45" s="139"/>
      <c r="K45" s="138">
        <f>+K40+K41+K43+K42</f>
        <v>310613.322613</v>
      </c>
      <c r="L45" s="69"/>
      <c r="M45" s="72">
        <f>+M40+M41+M43+M42</f>
        <v>0</v>
      </c>
      <c r="N45" s="69"/>
      <c r="O45" s="138">
        <f>SUM(O40:O43)</f>
        <v>247414.53123199995</v>
      </c>
    </row>
    <row r="46" spans="1:15" ht="15.75" customHeight="1" thickBot="1" x14ac:dyDescent="0.35">
      <c r="A46" s="73" t="s">
        <v>24</v>
      </c>
      <c r="B46" s="280"/>
      <c r="C46" s="269"/>
      <c r="D46" s="266"/>
      <c r="E46" s="269"/>
      <c r="F46" s="266"/>
      <c r="G46" s="269"/>
      <c r="H46" s="266"/>
      <c r="I46" s="269"/>
      <c r="J46" s="289"/>
      <c r="K46" s="269"/>
      <c r="L46" s="289"/>
      <c r="M46" s="269"/>
      <c r="N46" s="308"/>
      <c r="O46" s="269"/>
    </row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23">
    <mergeCell ref="A8:O8"/>
    <mergeCell ref="A10:A11"/>
    <mergeCell ref="B10:B11"/>
    <mergeCell ref="C10:C11"/>
    <mergeCell ref="H10:I10"/>
    <mergeCell ref="J10:K10"/>
    <mergeCell ref="L10:M10"/>
    <mergeCell ref="N10:O10"/>
    <mergeCell ref="N46:O46"/>
    <mergeCell ref="D10:E10"/>
    <mergeCell ref="F10:G10"/>
    <mergeCell ref="B46:C46"/>
    <mergeCell ref="D46:E46"/>
    <mergeCell ref="F46:G46"/>
    <mergeCell ref="H46:I46"/>
    <mergeCell ref="J46:K46"/>
    <mergeCell ref="L46:M46"/>
    <mergeCell ref="A35:N35"/>
    <mergeCell ref="B36:C36"/>
    <mergeCell ref="B38:C38"/>
    <mergeCell ref="B39:C39"/>
    <mergeCell ref="B40:C40"/>
    <mergeCell ref="B41:C41"/>
  </mergeCells>
  <pageMargins left="0.7" right="0.7" top="0.75" bottom="0.75" header="0" footer="0"/>
  <pageSetup scale="65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A254-4475-4D96-9635-CB91E32857F3}">
  <sheetPr>
    <pageSetUpPr fitToPage="1"/>
  </sheetPr>
  <dimension ref="A1:O987"/>
  <sheetViews>
    <sheetView tabSelected="1" topLeftCell="B1" workbookViewId="0">
      <selection activeCell="V4" sqref="V4"/>
    </sheetView>
  </sheetViews>
  <sheetFormatPr baseColWidth="10" defaultColWidth="14.44140625" defaultRowHeight="15" customHeight="1" x14ac:dyDescent="0.3"/>
  <cols>
    <col min="1" max="1" width="23.109375" style="259" customWidth="1"/>
    <col min="2" max="2" width="8.109375" style="259" customWidth="1"/>
    <col min="3" max="3" width="8.6640625" style="259" customWidth="1"/>
    <col min="4" max="4" width="11" style="259" bestFit="1" customWidth="1"/>
    <col min="5" max="5" width="12.44140625" style="259" bestFit="1" customWidth="1"/>
    <col min="6" max="6" width="11" style="259" bestFit="1" customWidth="1"/>
    <col min="7" max="7" width="12.44140625" style="259" bestFit="1" customWidth="1"/>
    <col min="8" max="8" width="11" style="259" bestFit="1" customWidth="1"/>
    <col min="9" max="9" width="12.44140625" style="259" bestFit="1" customWidth="1"/>
    <col min="10" max="13" width="10.6640625" style="259" hidden="1" customWidth="1"/>
    <col min="14" max="14" width="11.109375" style="259" bestFit="1" customWidth="1"/>
    <col min="15" max="15" width="12.44140625" style="259" bestFit="1" customWidth="1"/>
    <col min="16" max="26" width="10.6640625" style="259" customWidth="1"/>
    <col min="27" max="16384" width="14.44140625" style="259"/>
  </cols>
  <sheetData>
    <row r="1" spans="1:15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263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5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 x14ac:dyDescent="0.3">
      <c r="A6" s="5" t="s">
        <v>264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5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14.4" x14ac:dyDescent="0.3">
      <c r="A10" s="310" t="s">
        <v>6</v>
      </c>
      <c r="B10" s="311" t="s">
        <v>7</v>
      </c>
      <c r="C10" s="312" t="s">
        <v>8</v>
      </c>
      <c r="D10" s="309" t="s">
        <v>32</v>
      </c>
      <c r="E10" s="271"/>
      <c r="F10" s="307" t="s">
        <v>33</v>
      </c>
      <c r="G10" s="271"/>
      <c r="H10" s="309" t="s">
        <v>31</v>
      </c>
      <c r="I10" s="282"/>
      <c r="J10" s="307"/>
      <c r="K10" s="271"/>
      <c r="L10" s="307"/>
      <c r="M10" s="271"/>
      <c r="N10" s="307" t="s">
        <v>12</v>
      </c>
      <c r="O10" s="271"/>
    </row>
    <row r="11" spans="1:15" thickBot="1" x14ac:dyDescent="0.35">
      <c r="A11" s="294"/>
      <c r="B11" s="292"/>
      <c r="C11" s="292"/>
      <c r="D11" s="89" t="s">
        <v>13</v>
      </c>
      <c r="E11" s="90" t="s">
        <v>14</v>
      </c>
      <c r="F11" s="91" t="s">
        <v>13</v>
      </c>
      <c r="G11" s="90" t="s">
        <v>14</v>
      </c>
      <c r="H11" s="89" t="s">
        <v>13</v>
      </c>
      <c r="I11" s="92" t="s">
        <v>14</v>
      </c>
      <c r="J11" s="91" t="s">
        <v>13</v>
      </c>
      <c r="K11" s="90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</row>
    <row r="12" spans="1:15" ht="14.4" x14ac:dyDescent="0.3">
      <c r="A12" s="93" t="s">
        <v>265</v>
      </c>
      <c r="B12" s="12" t="s">
        <v>7</v>
      </c>
      <c r="C12" s="13">
        <v>30</v>
      </c>
      <c r="D12" s="94">
        <f>20900/1.21</f>
        <v>17272.727272727272</v>
      </c>
      <c r="E12" s="95">
        <f t="shared" ref="E12:E14" si="0">D12*C12</f>
        <v>518181.81818181818</v>
      </c>
      <c r="F12" s="160">
        <f>20300/1.21</f>
        <v>16776.859504132233</v>
      </c>
      <c r="G12" s="97">
        <f t="shared" ref="G12:G14" si="1">C12*F12</f>
        <v>503305.78512396698</v>
      </c>
      <c r="H12" s="94">
        <f>24121.91/1.21</f>
        <v>19935.462809917357</v>
      </c>
      <c r="I12" s="98">
        <f t="shared" ref="I12:I14" si="2">C12*H12</f>
        <v>598063.88429752074</v>
      </c>
      <c r="J12" s="160"/>
      <c r="K12" s="97">
        <f t="shared" ref="K12:K14" si="3">C12*J12</f>
        <v>0</v>
      </c>
      <c r="L12" s="160"/>
      <c r="M12" s="97">
        <f t="shared" ref="M12:M14" si="4">C12*L12</f>
        <v>0</v>
      </c>
      <c r="N12" s="99">
        <f t="shared" ref="N12:N14" si="5">MIN(D12,F12,H12,J12,L12)</f>
        <v>16776.859504132233</v>
      </c>
      <c r="O12" s="100">
        <f t="shared" ref="O12:O14" si="6">N12*C12</f>
        <v>503305.78512396698</v>
      </c>
    </row>
    <row r="13" spans="1:15" ht="14.4" x14ac:dyDescent="0.3">
      <c r="A13" s="101" t="s">
        <v>266</v>
      </c>
      <c r="B13" s="12" t="s">
        <v>7</v>
      </c>
      <c r="C13" s="13">
        <v>6</v>
      </c>
      <c r="D13" s="94">
        <f>20900/1.21</f>
        <v>17272.727272727272</v>
      </c>
      <c r="E13" s="95">
        <f t="shared" si="0"/>
        <v>103636.36363636363</v>
      </c>
      <c r="F13" s="160">
        <f>16600/1.21</f>
        <v>13719.008264462811</v>
      </c>
      <c r="G13" s="97">
        <f t="shared" si="1"/>
        <v>82314.049586776862</v>
      </c>
      <c r="H13" s="94">
        <f>13922.62/1.21</f>
        <v>11506.297520661157</v>
      </c>
      <c r="I13" s="98">
        <f t="shared" si="2"/>
        <v>69037.78512396694</v>
      </c>
      <c r="J13" s="160"/>
      <c r="K13" s="97">
        <f t="shared" si="3"/>
        <v>0</v>
      </c>
      <c r="L13" s="160"/>
      <c r="M13" s="97">
        <f t="shared" si="4"/>
        <v>0</v>
      </c>
      <c r="N13" s="99">
        <f t="shared" si="5"/>
        <v>11506.297520661157</v>
      </c>
      <c r="O13" s="100">
        <f t="shared" si="6"/>
        <v>69037.78512396694</v>
      </c>
    </row>
    <row r="14" spans="1:15" ht="14.4" x14ac:dyDescent="0.3">
      <c r="A14" s="101"/>
      <c r="B14" s="12"/>
      <c r="C14" s="13"/>
      <c r="D14" s="94"/>
      <c r="E14" s="95">
        <f t="shared" si="0"/>
        <v>0</v>
      </c>
      <c r="F14" s="160"/>
      <c r="G14" s="97">
        <f t="shared" si="1"/>
        <v>0</v>
      </c>
      <c r="H14" s="94"/>
      <c r="I14" s="98">
        <f t="shared" si="2"/>
        <v>0</v>
      </c>
      <c r="J14" s="160"/>
      <c r="K14" s="97">
        <f t="shared" si="3"/>
        <v>0</v>
      </c>
      <c r="L14" s="160"/>
      <c r="M14" s="97">
        <f t="shared" si="4"/>
        <v>0</v>
      </c>
      <c r="N14" s="99">
        <f t="shared" si="5"/>
        <v>0</v>
      </c>
      <c r="O14" s="100">
        <f t="shared" si="6"/>
        <v>0</v>
      </c>
    </row>
    <row r="15" spans="1:15" ht="15.75" customHeight="1" thickBot="1" x14ac:dyDescent="0.35">
      <c r="A15" s="109"/>
      <c r="B15" s="110"/>
      <c r="C15" s="25"/>
      <c r="D15" s="111"/>
      <c r="E15" s="112"/>
      <c r="F15" s="113"/>
      <c r="G15" s="114"/>
      <c r="H15" s="111"/>
      <c r="I15" s="115"/>
      <c r="J15" s="113"/>
      <c r="K15" s="114"/>
      <c r="L15" s="113"/>
      <c r="M15" s="114"/>
      <c r="N15" s="116"/>
      <c r="O15" s="117"/>
    </row>
    <row r="16" spans="1:15" ht="15.75" customHeight="1" thickBot="1" x14ac:dyDescent="0.35">
      <c r="A16" s="272" t="s">
        <v>66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4"/>
    </row>
    <row r="17" spans="1:15" ht="15.75" customHeight="1" thickBot="1" x14ac:dyDescent="0.35">
      <c r="A17" s="32" t="s">
        <v>17</v>
      </c>
      <c r="B17" s="274"/>
      <c r="C17" s="275"/>
      <c r="D17" s="118"/>
      <c r="E17" s="119">
        <f>+SUM(E12:E15)</f>
        <v>621818.18181818177</v>
      </c>
      <c r="F17" s="33"/>
      <c r="G17" s="120">
        <f>+SUM(G12:G15)</f>
        <v>585619.83471074386</v>
      </c>
      <c r="H17" s="33"/>
      <c r="I17" s="120">
        <f>+SUM(I12:I16)</f>
        <v>667101.66942148772</v>
      </c>
      <c r="J17" s="33"/>
      <c r="K17" s="120">
        <f>+SUM(K12:K15)</f>
        <v>0</v>
      </c>
      <c r="L17" s="33"/>
      <c r="M17" s="120">
        <f>+SUM(M12:M16)</f>
        <v>0</v>
      </c>
      <c r="N17" s="36"/>
      <c r="O17" s="120">
        <f>+SUM(O12:O16)</f>
        <v>572343.57024793397</v>
      </c>
    </row>
    <row r="18" spans="1:15" ht="15.75" customHeight="1" thickBot="1" x14ac:dyDescent="0.35">
      <c r="A18" s="37"/>
      <c r="B18" s="38"/>
      <c r="C18" s="38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</row>
    <row r="19" spans="1:15" ht="15.75" customHeight="1" x14ac:dyDescent="0.3">
      <c r="A19" s="40" t="s">
        <v>18</v>
      </c>
      <c r="B19" s="276"/>
      <c r="C19" s="271"/>
      <c r="D19" s="122">
        <v>0</v>
      </c>
      <c r="E19" s="123">
        <f>+E17*D19</f>
        <v>0</v>
      </c>
      <c r="F19" s="41">
        <v>0</v>
      </c>
      <c r="G19" s="124">
        <f>+G17*F19</f>
        <v>0</v>
      </c>
      <c r="H19" s="41">
        <v>0</v>
      </c>
      <c r="I19" s="124">
        <f>+I17*H19</f>
        <v>0</v>
      </c>
      <c r="J19" s="41">
        <v>0</v>
      </c>
      <c r="K19" s="124">
        <f>+K17*J19</f>
        <v>0</v>
      </c>
      <c r="L19" s="41">
        <v>0</v>
      </c>
      <c r="M19" s="124">
        <f>+M17*L19</f>
        <v>0</v>
      </c>
      <c r="N19" s="125"/>
      <c r="O19" s="124">
        <f>+O17*N19</f>
        <v>0</v>
      </c>
    </row>
    <row r="20" spans="1:15" ht="15.75" customHeight="1" x14ac:dyDescent="0.3">
      <c r="A20" s="45" t="s">
        <v>19</v>
      </c>
      <c r="B20" s="277">
        <v>1</v>
      </c>
      <c r="C20" s="278"/>
      <c r="D20" s="126"/>
      <c r="E20" s="127"/>
      <c r="F20" s="126"/>
      <c r="G20" s="128"/>
      <c r="H20" s="126"/>
      <c r="I20" s="128"/>
      <c r="J20" s="126"/>
      <c r="K20" s="128"/>
      <c r="L20" s="126"/>
      <c r="M20" s="128"/>
      <c r="N20" s="129"/>
      <c r="O20" s="128"/>
    </row>
    <row r="21" spans="1:15" ht="15.75" customHeight="1" x14ac:dyDescent="0.3">
      <c r="A21" s="45" t="s">
        <v>20</v>
      </c>
      <c r="B21" s="277"/>
      <c r="C21" s="278"/>
      <c r="D21" s="126"/>
      <c r="E21" s="127">
        <f>+E17-E19</f>
        <v>621818.18181818177</v>
      </c>
      <c r="F21" s="126"/>
      <c r="G21" s="128">
        <f>+G17-G19</f>
        <v>585619.83471074386</v>
      </c>
      <c r="H21" s="126"/>
      <c r="I21" s="128">
        <f>+I17-I19</f>
        <v>667101.66942148772</v>
      </c>
      <c r="J21" s="126"/>
      <c r="K21" s="128">
        <f>+K17-K19</f>
        <v>0</v>
      </c>
      <c r="L21" s="126"/>
      <c r="M21" s="128">
        <f>+M17-M19</f>
        <v>0</v>
      </c>
      <c r="N21" s="129"/>
      <c r="O21" s="128">
        <f>+O17-O19</f>
        <v>572343.57024793397</v>
      </c>
    </row>
    <row r="22" spans="1:15" ht="15.75" customHeight="1" x14ac:dyDescent="0.3">
      <c r="A22" s="45" t="s">
        <v>21</v>
      </c>
      <c r="B22" s="279">
        <v>0.21</v>
      </c>
      <c r="C22" s="278"/>
      <c r="D22" s="126"/>
      <c r="E22" s="127">
        <f>(+E21)*B22</f>
        <v>130581.81818181816</v>
      </c>
      <c r="F22" s="126"/>
      <c r="G22" s="128">
        <f>(+G21)*B22</f>
        <v>122980.16528925621</v>
      </c>
      <c r="H22" s="126"/>
      <c r="I22" s="128">
        <f>(+I21)*B22</f>
        <v>140091.35057851241</v>
      </c>
      <c r="J22" s="126"/>
      <c r="K22" s="128">
        <f>(+K21)*B22</f>
        <v>0</v>
      </c>
      <c r="L22" s="126"/>
      <c r="M22" s="128">
        <f>(+M21)*B22</f>
        <v>0</v>
      </c>
      <c r="N22" s="129"/>
      <c r="O22" s="128">
        <f>O21*B22</f>
        <v>120192.14975206612</v>
      </c>
    </row>
    <row r="23" spans="1:15" ht="15.75" customHeight="1" x14ac:dyDescent="0.3">
      <c r="A23" s="50" t="s">
        <v>22</v>
      </c>
      <c r="B23" s="51"/>
      <c r="C23" s="52"/>
      <c r="D23" s="130"/>
      <c r="E23" s="131"/>
      <c r="F23" s="130"/>
      <c r="G23" s="132"/>
      <c r="H23" s="130"/>
      <c r="I23" s="132"/>
      <c r="J23" s="130"/>
      <c r="K23" s="132"/>
      <c r="L23" s="130"/>
      <c r="M23" s="132"/>
      <c r="N23" s="133"/>
      <c r="O23" s="132"/>
    </row>
    <row r="24" spans="1:15" ht="15.75" customHeight="1" thickBot="1" x14ac:dyDescent="0.35">
      <c r="A24" s="57" t="s">
        <v>45</v>
      </c>
      <c r="B24" s="58"/>
      <c r="C24" s="59"/>
      <c r="D24" s="134"/>
      <c r="E24" s="135"/>
      <c r="F24" s="134"/>
      <c r="G24" s="136"/>
      <c r="H24" s="134"/>
      <c r="I24" s="136"/>
      <c r="J24" s="134"/>
      <c r="K24" s="136"/>
      <c r="L24" s="134"/>
      <c r="M24" s="136"/>
      <c r="N24" s="137"/>
      <c r="O24" s="136"/>
    </row>
    <row r="25" spans="1:15" ht="15.75" customHeight="1" thickBot="1" x14ac:dyDescent="0.35">
      <c r="A25" s="37"/>
      <c r="B25" s="38"/>
      <c r="C25" s="38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</row>
    <row r="26" spans="1:15" ht="15.75" customHeight="1" thickBot="1" x14ac:dyDescent="0.35">
      <c r="A26" s="66" t="s">
        <v>23</v>
      </c>
      <c r="B26" s="67"/>
      <c r="C26" s="68"/>
      <c r="D26" s="69"/>
      <c r="E26" s="138">
        <f>+E21+E22+E24+E23</f>
        <v>752399.99999999988</v>
      </c>
      <c r="F26" s="139"/>
      <c r="G26" s="138">
        <f>+G21+G22+G24+G23</f>
        <v>708600.00000000012</v>
      </c>
      <c r="H26" s="139"/>
      <c r="I26" s="138">
        <f>+I21+I22+I24+I23</f>
        <v>807193.02000000014</v>
      </c>
      <c r="J26" s="139"/>
      <c r="K26" s="138">
        <f>+K21+K22+K24+K23</f>
        <v>0</v>
      </c>
      <c r="L26" s="69"/>
      <c r="M26" s="72">
        <f>+M21+M22+M24+M23</f>
        <v>0</v>
      </c>
      <c r="N26" s="69"/>
      <c r="O26" s="138">
        <f>SUM(O21:O24)</f>
        <v>692535.72000000009</v>
      </c>
    </row>
    <row r="27" spans="1:15" ht="15.75" customHeight="1" thickBot="1" x14ac:dyDescent="0.35">
      <c r="A27" s="73" t="s">
        <v>24</v>
      </c>
      <c r="B27" s="280"/>
      <c r="C27" s="269"/>
      <c r="D27" s="266"/>
      <c r="E27" s="269"/>
      <c r="F27" s="266"/>
      <c r="G27" s="269"/>
      <c r="H27" s="266"/>
      <c r="I27" s="269"/>
      <c r="J27" s="289"/>
      <c r="K27" s="269"/>
      <c r="L27" s="289"/>
      <c r="M27" s="269"/>
      <c r="N27" s="308"/>
      <c r="O27" s="269"/>
    </row>
    <row r="28" spans="1:15" ht="15.75" customHeight="1" x14ac:dyDescent="0.3"/>
    <row r="29" spans="1:15" ht="15.75" customHeight="1" x14ac:dyDescent="0.3"/>
    <row r="30" spans="1:15" ht="15.75" customHeight="1" x14ac:dyDescent="0.3"/>
    <row r="31" spans="1:15" ht="15.75" customHeight="1" x14ac:dyDescent="0.3"/>
    <row r="32" spans="1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</sheetData>
  <mergeCells count="23">
    <mergeCell ref="N27:O27"/>
    <mergeCell ref="B27:C27"/>
    <mergeCell ref="D27:E27"/>
    <mergeCell ref="F27:G27"/>
    <mergeCell ref="H27:I27"/>
    <mergeCell ref="J27:K27"/>
    <mergeCell ref="L27:M27"/>
    <mergeCell ref="A16:N16"/>
    <mergeCell ref="B17:C17"/>
    <mergeCell ref="B19:C19"/>
    <mergeCell ref="B20:C20"/>
    <mergeCell ref="B21:C21"/>
    <mergeCell ref="B22:C22"/>
    <mergeCell ref="A8:O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</mergeCells>
  <pageMargins left="0.7" right="0.7" top="0.75" bottom="0.75" header="0" footer="0"/>
  <pageSetup scale="91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E8EF-1637-436C-B2EB-CEFF06A9BBE9}">
  <sheetPr>
    <pageSetUpPr fitToPage="1"/>
  </sheetPr>
  <dimension ref="A1:O991"/>
  <sheetViews>
    <sheetView topLeftCell="A7" workbookViewId="0">
      <selection activeCell="B3" sqref="B3"/>
    </sheetView>
  </sheetViews>
  <sheetFormatPr baseColWidth="10" defaultColWidth="14.44140625" defaultRowHeight="15" customHeight="1" x14ac:dyDescent="0.3"/>
  <cols>
    <col min="1" max="1" width="42.88671875" style="259" bestFit="1" customWidth="1"/>
    <col min="2" max="3" width="10.6640625" style="259" customWidth="1"/>
    <col min="4" max="4" width="11" style="259" bestFit="1" customWidth="1"/>
    <col min="5" max="5" width="12.44140625" style="259" bestFit="1" customWidth="1"/>
    <col min="6" max="6" width="11" style="259" bestFit="1" customWidth="1"/>
    <col min="7" max="7" width="12.44140625" style="259" bestFit="1" customWidth="1"/>
    <col min="8" max="8" width="11" style="259" bestFit="1" customWidth="1"/>
    <col min="9" max="9" width="12.44140625" style="259" bestFit="1" customWidth="1"/>
    <col min="10" max="10" width="11" style="259" bestFit="1" customWidth="1"/>
    <col min="11" max="11" width="12.44140625" style="259" bestFit="1" customWidth="1"/>
    <col min="12" max="13" width="10.6640625" style="259" hidden="1" customWidth="1"/>
    <col min="14" max="14" width="11.109375" style="259" bestFit="1" customWidth="1"/>
    <col min="15" max="15" width="12.44140625" style="259" bestFit="1" customWidth="1"/>
    <col min="16" max="26" width="10.6640625" style="259" customWidth="1"/>
    <col min="27" max="16384" width="14.44140625" style="259"/>
  </cols>
  <sheetData>
    <row r="1" spans="1:15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267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x14ac:dyDescent="0.3">
      <c r="A3" s="5" t="s">
        <v>63</v>
      </c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x14ac:dyDescent="0.3">
      <c r="A4" s="5" t="s">
        <v>64</v>
      </c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</row>
    <row r="5" spans="1:15" x14ac:dyDescent="0.3">
      <c r="A5" s="5" t="s">
        <v>65</v>
      </c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6" spans="1:15" x14ac:dyDescent="0.3">
      <c r="A6" s="5" t="s">
        <v>280</v>
      </c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x14ac:dyDescent="0.3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14.4" x14ac:dyDescent="0.3">
      <c r="A8" s="283" t="s">
        <v>5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5"/>
    </row>
    <row r="9" spans="1:15" ht="15.6" thickBot="1" x14ac:dyDescent="0.35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14.4" x14ac:dyDescent="0.3">
      <c r="A10" s="310" t="s">
        <v>6</v>
      </c>
      <c r="B10" s="311" t="s">
        <v>7</v>
      </c>
      <c r="C10" s="312" t="s">
        <v>8</v>
      </c>
      <c r="D10" s="309" t="s">
        <v>276</v>
      </c>
      <c r="E10" s="271"/>
      <c r="F10" s="307" t="s">
        <v>277</v>
      </c>
      <c r="G10" s="271"/>
      <c r="H10" s="309" t="s">
        <v>278</v>
      </c>
      <c r="I10" s="282"/>
      <c r="J10" s="307" t="s">
        <v>279</v>
      </c>
      <c r="K10" s="271"/>
      <c r="L10" s="307"/>
      <c r="M10" s="271"/>
      <c r="N10" s="307" t="s">
        <v>12</v>
      </c>
      <c r="O10" s="271"/>
    </row>
    <row r="11" spans="1:15" thickBot="1" x14ac:dyDescent="0.35">
      <c r="A11" s="294"/>
      <c r="B11" s="292"/>
      <c r="C11" s="292"/>
      <c r="D11" s="89" t="s">
        <v>13</v>
      </c>
      <c r="E11" s="90" t="s">
        <v>14</v>
      </c>
      <c r="F11" s="91" t="s">
        <v>13</v>
      </c>
      <c r="G11" s="90" t="s">
        <v>14</v>
      </c>
      <c r="H11" s="89" t="s">
        <v>13</v>
      </c>
      <c r="I11" s="92" t="s">
        <v>14</v>
      </c>
      <c r="J11" s="91" t="s">
        <v>13</v>
      </c>
      <c r="K11" s="90" t="s">
        <v>14</v>
      </c>
      <c r="L11" s="91" t="s">
        <v>13</v>
      </c>
      <c r="M11" s="90" t="s">
        <v>14</v>
      </c>
      <c r="N11" s="91" t="s">
        <v>13</v>
      </c>
      <c r="O11" s="90" t="s">
        <v>14</v>
      </c>
    </row>
    <row r="12" spans="1:15" ht="14.4" x14ac:dyDescent="0.3">
      <c r="A12" s="93" t="s">
        <v>268</v>
      </c>
      <c r="B12" s="12" t="s">
        <v>275</v>
      </c>
      <c r="C12" s="13">
        <v>100</v>
      </c>
      <c r="D12" s="94">
        <v>1966.66</v>
      </c>
      <c r="E12" s="95">
        <f t="shared" ref="E12:E18" si="0">D12*C12</f>
        <v>196666</v>
      </c>
      <c r="F12" s="260">
        <v>1926.89</v>
      </c>
      <c r="G12" s="97">
        <f t="shared" ref="G12:G18" si="1">C12*F12</f>
        <v>192689</v>
      </c>
      <c r="H12" s="94">
        <f>200270.67/100</f>
        <v>2002.7067000000002</v>
      </c>
      <c r="I12" s="98">
        <f t="shared" ref="I12:I18" si="2">C12*H12</f>
        <v>200270.67</v>
      </c>
      <c r="J12" s="160">
        <v>2003.62</v>
      </c>
      <c r="K12" s="97">
        <f t="shared" ref="K12:K18" si="3">C12*J12</f>
        <v>200362</v>
      </c>
      <c r="L12" s="160"/>
      <c r="M12" s="97">
        <f t="shared" ref="M12:M18" si="4">C12*L12</f>
        <v>0</v>
      </c>
      <c r="N12" s="99">
        <f>MIN(D12,F12,H12,J12,L12)</f>
        <v>1926.89</v>
      </c>
      <c r="O12" s="100">
        <f t="shared" ref="O12:O18" si="5">N12*C12</f>
        <v>192689</v>
      </c>
    </row>
    <row r="13" spans="1:15" ht="14.4" x14ac:dyDescent="0.3">
      <c r="A13" s="101" t="s">
        <v>269</v>
      </c>
      <c r="B13" s="12" t="s">
        <v>7</v>
      </c>
      <c r="C13" s="13">
        <v>7</v>
      </c>
      <c r="D13" s="94">
        <v>14781.69</v>
      </c>
      <c r="E13" s="95">
        <f t="shared" si="0"/>
        <v>103471.83</v>
      </c>
      <c r="F13" s="260">
        <v>14395.96</v>
      </c>
      <c r="G13" s="97">
        <f t="shared" si="1"/>
        <v>100771.72</v>
      </c>
      <c r="H13" s="94">
        <v>15426.56</v>
      </c>
      <c r="I13" s="98">
        <f t="shared" si="2"/>
        <v>107985.92</v>
      </c>
      <c r="J13" s="160">
        <v>15676.63</v>
      </c>
      <c r="K13" s="97">
        <f t="shared" si="3"/>
        <v>109736.40999999999</v>
      </c>
      <c r="L13" s="160"/>
      <c r="M13" s="97">
        <f t="shared" si="4"/>
        <v>0</v>
      </c>
      <c r="N13" s="99">
        <f t="shared" ref="N12:N18" si="6">MIN(D13,F13,H13,J13,L13)</f>
        <v>14395.96</v>
      </c>
      <c r="O13" s="100">
        <f t="shared" si="5"/>
        <v>100771.72</v>
      </c>
    </row>
    <row r="14" spans="1:15" ht="14.4" x14ac:dyDescent="0.3">
      <c r="A14" s="101" t="s">
        <v>270</v>
      </c>
      <c r="B14" s="12" t="s">
        <v>7</v>
      </c>
      <c r="C14" s="13">
        <v>27</v>
      </c>
      <c r="D14" s="94">
        <v>789.43</v>
      </c>
      <c r="E14" s="95">
        <f t="shared" si="0"/>
        <v>21314.609999999997</v>
      </c>
      <c r="F14" s="260">
        <v>786.14</v>
      </c>
      <c r="G14" s="97">
        <f t="shared" si="1"/>
        <v>21225.78</v>
      </c>
      <c r="H14" s="94">
        <v>907.61</v>
      </c>
      <c r="I14" s="98">
        <f t="shared" si="2"/>
        <v>24505.47</v>
      </c>
      <c r="J14" s="160">
        <v>871.5</v>
      </c>
      <c r="K14" s="97">
        <f t="shared" si="3"/>
        <v>23530.5</v>
      </c>
      <c r="L14" s="160"/>
      <c r="M14" s="97">
        <f t="shared" si="4"/>
        <v>0</v>
      </c>
      <c r="N14" s="99">
        <f t="shared" si="6"/>
        <v>786.14</v>
      </c>
      <c r="O14" s="100">
        <f t="shared" si="5"/>
        <v>21225.78</v>
      </c>
    </row>
    <row r="15" spans="1:15" ht="14.4" x14ac:dyDescent="0.3">
      <c r="A15" s="93" t="s">
        <v>271</v>
      </c>
      <c r="B15" s="12" t="s">
        <v>7</v>
      </c>
      <c r="C15" s="13">
        <v>45</v>
      </c>
      <c r="D15" s="232">
        <v>859.3</v>
      </c>
      <c r="E15" s="95">
        <f t="shared" si="0"/>
        <v>38668.5</v>
      </c>
      <c r="F15" s="160">
        <v>1617.1</v>
      </c>
      <c r="G15" s="97">
        <f t="shared" si="1"/>
        <v>72769.5</v>
      </c>
      <c r="H15" s="94">
        <v>896.54</v>
      </c>
      <c r="I15" s="98">
        <f t="shared" si="2"/>
        <v>40344.299999999996</v>
      </c>
      <c r="J15" s="160">
        <v>987.13</v>
      </c>
      <c r="K15" s="97">
        <f t="shared" si="3"/>
        <v>44420.85</v>
      </c>
      <c r="L15" s="160"/>
      <c r="M15" s="97">
        <f t="shared" si="4"/>
        <v>0</v>
      </c>
      <c r="N15" s="99">
        <f t="shared" si="6"/>
        <v>859.3</v>
      </c>
      <c r="O15" s="100">
        <f t="shared" si="5"/>
        <v>38668.5</v>
      </c>
    </row>
    <row r="16" spans="1:15" ht="14.4" x14ac:dyDescent="0.3">
      <c r="A16" s="93" t="s">
        <v>272</v>
      </c>
      <c r="B16" s="12" t="s">
        <v>7</v>
      </c>
      <c r="C16" s="13">
        <v>18</v>
      </c>
      <c r="D16" s="232">
        <v>840.38</v>
      </c>
      <c r="E16" s="95">
        <f t="shared" si="0"/>
        <v>15126.84</v>
      </c>
      <c r="F16" s="160">
        <v>1617.1</v>
      </c>
      <c r="G16" s="97">
        <f t="shared" si="1"/>
        <v>29107.8</v>
      </c>
      <c r="H16" s="94">
        <v>896.54</v>
      </c>
      <c r="I16" s="98">
        <f t="shared" si="2"/>
        <v>16137.72</v>
      </c>
      <c r="J16" s="160">
        <v>935.26</v>
      </c>
      <c r="K16" s="97">
        <f t="shared" si="3"/>
        <v>16834.68</v>
      </c>
      <c r="L16" s="160"/>
      <c r="M16" s="97">
        <f t="shared" si="4"/>
        <v>0</v>
      </c>
      <c r="N16" s="99">
        <f t="shared" si="6"/>
        <v>840.38</v>
      </c>
      <c r="O16" s="100">
        <f t="shared" si="5"/>
        <v>15126.84</v>
      </c>
    </row>
    <row r="17" spans="1:15" ht="14.4" x14ac:dyDescent="0.3">
      <c r="A17" s="93" t="s">
        <v>273</v>
      </c>
      <c r="B17" s="12" t="s">
        <v>7</v>
      </c>
      <c r="C17" s="13">
        <v>4</v>
      </c>
      <c r="D17" s="94">
        <v>18892.54</v>
      </c>
      <c r="E17" s="95">
        <f t="shared" si="0"/>
        <v>75570.16</v>
      </c>
      <c r="F17" s="160">
        <v>10294.44</v>
      </c>
      <c r="G17" s="97">
        <f t="shared" si="1"/>
        <v>41177.760000000002</v>
      </c>
      <c r="H17" s="94">
        <v>11897.52</v>
      </c>
      <c r="I17" s="98">
        <f t="shared" si="2"/>
        <v>47590.080000000002</v>
      </c>
      <c r="J17" s="260">
        <v>8455.42</v>
      </c>
      <c r="K17" s="97">
        <f t="shared" si="3"/>
        <v>33821.68</v>
      </c>
      <c r="L17" s="160"/>
      <c r="M17" s="97">
        <f t="shared" si="4"/>
        <v>0</v>
      </c>
      <c r="N17" s="99">
        <f t="shared" si="6"/>
        <v>8455.42</v>
      </c>
      <c r="O17" s="100">
        <f t="shared" si="5"/>
        <v>33821.68</v>
      </c>
    </row>
    <row r="18" spans="1:15" ht="14.4" x14ac:dyDescent="0.3">
      <c r="A18" s="93" t="s">
        <v>274</v>
      </c>
      <c r="B18" s="12" t="s">
        <v>7</v>
      </c>
      <c r="C18" s="13">
        <v>20</v>
      </c>
      <c r="D18" s="94">
        <v>208.6</v>
      </c>
      <c r="E18" s="95">
        <f t="shared" si="0"/>
        <v>4172</v>
      </c>
      <c r="F18" s="160">
        <v>211.42</v>
      </c>
      <c r="G18" s="97">
        <f t="shared" si="1"/>
        <v>4228.3999999999996</v>
      </c>
      <c r="H18" s="232">
        <v>192.65</v>
      </c>
      <c r="I18" s="98">
        <f t="shared" si="2"/>
        <v>3853</v>
      </c>
      <c r="J18" s="160">
        <v>245.09</v>
      </c>
      <c r="K18" s="97">
        <f t="shared" si="3"/>
        <v>4901.8</v>
      </c>
      <c r="L18" s="160"/>
      <c r="M18" s="97">
        <f t="shared" si="4"/>
        <v>0</v>
      </c>
      <c r="N18" s="99">
        <f t="shared" si="6"/>
        <v>192.65</v>
      </c>
      <c r="O18" s="100">
        <f t="shared" si="5"/>
        <v>3853</v>
      </c>
    </row>
    <row r="19" spans="1:15" ht="15.75" customHeight="1" thickBot="1" x14ac:dyDescent="0.35">
      <c r="A19" s="109"/>
      <c r="B19" s="110"/>
      <c r="C19" s="25"/>
      <c r="D19" s="111"/>
      <c r="E19" s="112"/>
      <c r="F19" s="113"/>
      <c r="G19" s="114"/>
      <c r="H19" s="111"/>
      <c r="I19" s="115"/>
      <c r="J19" s="113"/>
      <c r="K19" s="114"/>
      <c r="L19" s="113"/>
      <c r="M19" s="114"/>
      <c r="N19" s="116"/>
      <c r="O19" s="117"/>
    </row>
    <row r="20" spans="1:15" ht="15.75" customHeight="1" thickBot="1" x14ac:dyDescent="0.35">
      <c r="A20" s="272" t="s">
        <v>66</v>
      </c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4"/>
    </row>
    <row r="21" spans="1:15" ht="15.75" customHeight="1" thickBot="1" x14ac:dyDescent="0.35">
      <c r="A21" s="32" t="s">
        <v>17</v>
      </c>
      <c r="B21" s="274"/>
      <c r="C21" s="275"/>
      <c r="D21" s="118"/>
      <c r="E21" s="119">
        <f>+SUM(E12:E19)</f>
        <v>454989.94000000006</v>
      </c>
      <c r="F21" s="33"/>
      <c r="G21" s="120">
        <f>+SUM(G12:G19)</f>
        <v>461969.96</v>
      </c>
      <c r="H21" s="33"/>
      <c r="I21" s="120">
        <f>+SUM(I12:I20)</f>
        <v>440687.16000000003</v>
      </c>
      <c r="J21" s="33"/>
      <c r="K21" s="120">
        <f>+SUM(K12:K19)</f>
        <v>433607.91999999993</v>
      </c>
      <c r="L21" s="33"/>
      <c r="M21" s="120">
        <f>+SUM(M12:M20)</f>
        <v>0</v>
      </c>
      <c r="N21" s="36"/>
      <c r="O21" s="120">
        <f>+SUM(O12:O20)</f>
        <v>406156.52</v>
      </c>
    </row>
    <row r="22" spans="1:15" ht="15.75" customHeight="1" thickBot="1" x14ac:dyDescent="0.35">
      <c r="A22" s="37"/>
      <c r="B22" s="38"/>
      <c r="C22" s="38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</row>
    <row r="23" spans="1:15" ht="15.75" customHeight="1" x14ac:dyDescent="0.3">
      <c r="A23" s="40" t="s">
        <v>18</v>
      </c>
      <c r="B23" s="276"/>
      <c r="C23" s="271"/>
      <c r="D23" s="122">
        <v>0</v>
      </c>
      <c r="E23" s="123">
        <f>+E21*D23</f>
        <v>0</v>
      </c>
      <c r="F23" s="41">
        <v>0</v>
      </c>
      <c r="G23" s="124">
        <f>+G21*F23</f>
        <v>0</v>
      </c>
      <c r="H23" s="41">
        <v>0</v>
      </c>
      <c r="I23" s="124">
        <f>+I21*H23</f>
        <v>0</v>
      </c>
      <c r="J23" s="41">
        <v>0</v>
      </c>
      <c r="K23" s="124">
        <f>+K21*J23</f>
        <v>0</v>
      </c>
      <c r="L23" s="41">
        <v>0</v>
      </c>
      <c r="M23" s="124">
        <f>+M21*L23</f>
        <v>0</v>
      </c>
      <c r="N23" s="125"/>
      <c r="O23" s="124">
        <f>+O21*N23</f>
        <v>0</v>
      </c>
    </row>
    <row r="24" spans="1:15" ht="15.75" customHeight="1" x14ac:dyDescent="0.3">
      <c r="A24" s="45" t="s">
        <v>19</v>
      </c>
      <c r="B24" s="277">
        <v>1</v>
      </c>
      <c r="C24" s="278"/>
      <c r="D24" s="126"/>
      <c r="E24" s="127"/>
      <c r="F24" s="126"/>
      <c r="G24" s="128"/>
      <c r="H24" s="126"/>
      <c r="I24" s="128"/>
      <c r="J24" s="126"/>
      <c r="K24" s="128"/>
      <c r="L24" s="126"/>
      <c r="M24" s="128"/>
      <c r="N24" s="129"/>
      <c r="O24" s="128"/>
    </row>
    <row r="25" spans="1:15" ht="15.75" customHeight="1" x14ac:dyDescent="0.3">
      <c r="A25" s="45" t="s">
        <v>20</v>
      </c>
      <c r="B25" s="277"/>
      <c r="C25" s="278"/>
      <c r="D25" s="126"/>
      <c r="E25" s="127">
        <f>+E21-E23</f>
        <v>454989.94000000006</v>
      </c>
      <c r="F25" s="126"/>
      <c r="G25" s="128">
        <f>+G21-G23</f>
        <v>461969.96</v>
      </c>
      <c r="H25" s="126"/>
      <c r="I25" s="128">
        <f>+I21-I23</f>
        <v>440687.16000000003</v>
      </c>
      <c r="J25" s="126"/>
      <c r="K25" s="128">
        <f>+K21-K23</f>
        <v>433607.91999999993</v>
      </c>
      <c r="L25" s="126"/>
      <c r="M25" s="128">
        <f>+M21-M23</f>
        <v>0</v>
      </c>
      <c r="N25" s="129"/>
      <c r="O25" s="128">
        <f>+O21-O23</f>
        <v>406156.52</v>
      </c>
    </row>
    <row r="26" spans="1:15" ht="15.75" customHeight="1" x14ac:dyDescent="0.3">
      <c r="A26" s="45" t="s">
        <v>21</v>
      </c>
      <c r="B26" s="279">
        <v>0.21</v>
      </c>
      <c r="C26" s="278"/>
      <c r="D26" s="126"/>
      <c r="E26" s="127">
        <f>(+E25)*B26</f>
        <v>95547.887400000007</v>
      </c>
      <c r="F26" s="126"/>
      <c r="G26" s="128">
        <f>(+G25)*B26</f>
        <v>97013.691600000006</v>
      </c>
      <c r="H26" s="126"/>
      <c r="I26" s="128">
        <v>89971.16</v>
      </c>
      <c r="J26" s="126"/>
      <c r="K26" s="128">
        <f>(+K25)*B26</f>
        <v>91057.663199999981</v>
      </c>
      <c r="L26" s="126"/>
      <c r="M26" s="128">
        <f>(+M25)*B26</f>
        <v>0</v>
      </c>
      <c r="N26" s="129"/>
      <c r="O26" s="128">
        <f>O25*B26</f>
        <v>85292.869200000001</v>
      </c>
    </row>
    <row r="27" spans="1:15" ht="15.75" customHeight="1" x14ac:dyDescent="0.3">
      <c r="A27" s="50" t="s">
        <v>22</v>
      </c>
      <c r="B27" s="51"/>
      <c r="C27" s="52"/>
      <c r="D27" s="130"/>
      <c r="E27" s="131"/>
      <c r="F27" s="130"/>
      <c r="G27" s="132">
        <v>10707.28</v>
      </c>
      <c r="H27" s="130"/>
      <c r="I27" s="132">
        <f>2644.12+4406.867</f>
        <v>7050.9870000000001</v>
      </c>
      <c r="J27" s="130"/>
      <c r="K27" s="132"/>
      <c r="L27" s="130"/>
      <c r="M27" s="132"/>
      <c r="N27" s="133"/>
      <c r="O27" s="132"/>
    </row>
    <row r="28" spans="1:15" ht="15.75" customHeight="1" thickBot="1" x14ac:dyDescent="0.35">
      <c r="A28" s="57" t="s">
        <v>45</v>
      </c>
      <c r="B28" s="58"/>
      <c r="C28" s="59"/>
      <c r="D28" s="134"/>
      <c r="E28" s="135"/>
      <c r="F28" s="134"/>
      <c r="G28" s="136"/>
      <c r="H28" s="134"/>
      <c r="I28" s="136"/>
      <c r="J28" s="134"/>
      <c r="K28" s="136"/>
      <c r="L28" s="134"/>
      <c r="M28" s="136"/>
      <c r="N28" s="137"/>
      <c r="O28" s="136"/>
    </row>
    <row r="29" spans="1:15" ht="15.75" customHeight="1" thickBot="1" x14ac:dyDescent="0.35">
      <c r="A29" s="37"/>
      <c r="B29" s="38"/>
      <c r="C29" s="38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</row>
    <row r="30" spans="1:15" ht="15.75" customHeight="1" thickBot="1" x14ac:dyDescent="0.35">
      <c r="A30" s="66" t="s">
        <v>23</v>
      </c>
      <c r="B30" s="67"/>
      <c r="C30" s="68"/>
      <c r="D30" s="69"/>
      <c r="E30" s="138">
        <f>+E25+E26+E28+E27</f>
        <v>550537.82740000007</v>
      </c>
      <c r="F30" s="139"/>
      <c r="G30" s="138">
        <f>+G25+G26+G28+G27</f>
        <v>569690.93160000001</v>
      </c>
      <c r="H30" s="139"/>
      <c r="I30" s="138">
        <f>+I25+I26+I28+I27</f>
        <v>537709.30700000003</v>
      </c>
      <c r="J30" s="139"/>
      <c r="K30" s="138">
        <f>+K25+K26+K28+K27</f>
        <v>524665.58319999988</v>
      </c>
      <c r="L30" s="69"/>
      <c r="M30" s="72">
        <f>+M25+M26+M28+M27</f>
        <v>0</v>
      </c>
      <c r="N30" s="69"/>
      <c r="O30" s="138">
        <f>SUM(O25:O28)</f>
        <v>491449.38920000003</v>
      </c>
    </row>
    <row r="31" spans="1:15" ht="15.75" customHeight="1" thickBot="1" x14ac:dyDescent="0.35">
      <c r="A31" s="73" t="s">
        <v>24</v>
      </c>
      <c r="B31" s="280"/>
      <c r="C31" s="269"/>
      <c r="D31" s="266"/>
      <c r="E31" s="269"/>
      <c r="F31" s="266"/>
      <c r="G31" s="269"/>
      <c r="H31" s="266"/>
      <c r="I31" s="269"/>
      <c r="J31" s="289"/>
      <c r="K31" s="269"/>
      <c r="L31" s="289"/>
      <c r="M31" s="269"/>
      <c r="N31" s="308"/>
      <c r="O31" s="269"/>
    </row>
    <row r="32" spans="1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mergeCells count="23">
    <mergeCell ref="N31:O31"/>
    <mergeCell ref="B31:C31"/>
    <mergeCell ref="D31:E31"/>
    <mergeCell ref="F31:G31"/>
    <mergeCell ref="H31:I31"/>
    <mergeCell ref="J31:K31"/>
    <mergeCell ref="L31:M31"/>
    <mergeCell ref="A20:N20"/>
    <mergeCell ref="B21:C21"/>
    <mergeCell ref="B23:C23"/>
    <mergeCell ref="B24:C24"/>
    <mergeCell ref="B25:C25"/>
    <mergeCell ref="B26:C26"/>
    <mergeCell ref="A8:O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</mergeCells>
  <pageMargins left="0.7" right="0.7" top="0.75" bottom="0.75" header="0" footer="0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CAÑO 110</vt:lpstr>
      <vt:lpstr>Cuplas</vt:lpstr>
      <vt:lpstr>Albañilería</vt:lpstr>
      <vt:lpstr>Plavicon</vt:lpstr>
      <vt:lpstr>GAS</vt:lpstr>
      <vt:lpstr>TERMOTANQUE SOLAR</vt:lpstr>
      <vt:lpstr>CORRALON</vt:lpstr>
      <vt:lpstr>FERRETERIA</vt:lpstr>
      <vt:lpstr>CORRALON CASA 2</vt:lpstr>
      <vt:lpstr>CORRALON CASA 3</vt:lpstr>
      <vt:lpstr>BASE</vt:lpstr>
      <vt:lpstr>GAS IVAN (10 VIV)</vt:lpstr>
      <vt:lpstr>CORRALON 4</vt:lpstr>
      <vt:lpstr>CORRALON 6</vt:lpstr>
      <vt:lpstr>CORRALON 5</vt:lpstr>
      <vt:lpstr>AGUA Y CLOACA 16-05</vt:lpstr>
      <vt:lpstr>Pozos</vt:lpstr>
      <vt:lpstr>Electricidad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KATYA</cp:lastModifiedBy>
  <cp:lastPrinted>2024-07-24T12:31:38Z</cp:lastPrinted>
  <dcterms:created xsi:type="dcterms:W3CDTF">2022-05-05T18:11:38Z</dcterms:created>
  <dcterms:modified xsi:type="dcterms:W3CDTF">2024-07-25T14:47:33Z</dcterms:modified>
</cp:coreProperties>
</file>